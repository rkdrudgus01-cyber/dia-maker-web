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xr:revisionPtr revIDLastSave="0" documentId="13_ncr:1_{04CB2FCD-DCA1-4543-94E7-4C9012870657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2026년 휴일 등" sheetId="46" r:id="rId1"/>
    <sheet name="2026.1." sheetId="47" r:id="rId2"/>
    <sheet name="2026.2." sheetId="48" r:id="rId3"/>
    <sheet name="2026.3." sheetId="33" r:id="rId4"/>
    <sheet name="2026.4." sheetId="49" r:id="rId5"/>
    <sheet name="2026.5." sheetId="51" r:id="rId6"/>
    <sheet name="2026.6." sheetId="52" r:id="rId7"/>
    <sheet name="2026.7." sheetId="53" r:id="rId8"/>
    <sheet name="2026.8." sheetId="54" r:id="rId9"/>
    <sheet name="2026.9." sheetId="55" r:id="rId10"/>
    <sheet name="2026.10." sheetId="56" r:id="rId11"/>
    <sheet name="2026.11." sheetId="57" r:id="rId12"/>
    <sheet name="2026.12." sheetId="58" r:id="rId13"/>
    <sheet name="분기별합계(2026)" sheetId="59" r:id="rId14"/>
    <sheet name="합계(2026)" sheetId="50" state="hidden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K7" i="51" l="1"/>
  <c r="AK8" i="51"/>
  <c r="AK9" i="51"/>
  <c r="AK10" i="51"/>
  <c r="AK11" i="51"/>
  <c r="AK12" i="51"/>
  <c r="AK13" i="51"/>
  <c r="AK14" i="51"/>
  <c r="AK15" i="51"/>
  <c r="AK16" i="51"/>
  <c r="AK17" i="51"/>
  <c r="AK18" i="51"/>
  <c r="AK19" i="51"/>
  <c r="AK20" i="51"/>
  <c r="AK21" i="51"/>
  <c r="AK22" i="51"/>
  <c r="AK23" i="51"/>
  <c r="AK24" i="51"/>
  <c r="AK25" i="51"/>
  <c r="AK26" i="51"/>
  <c r="AK27" i="51"/>
  <c r="AK28" i="51"/>
  <c r="AJ7" i="51"/>
  <c r="AJ8" i="51"/>
  <c r="AJ9" i="51"/>
  <c r="AJ10" i="51"/>
  <c r="AJ11" i="51"/>
  <c r="AJ12" i="51"/>
  <c r="AJ13" i="51"/>
  <c r="AJ14" i="51"/>
  <c r="AJ15" i="51"/>
  <c r="AJ16" i="51"/>
  <c r="AJ17" i="51"/>
  <c r="AJ18" i="51"/>
  <c r="AJ19" i="51"/>
  <c r="AJ20" i="51"/>
  <c r="AJ21" i="51"/>
  <c r="AJ22" i="51"/>
  <c r="AJ23" i="51"/>
  <c r="AJ24" i="51"/>
  <c r="AJ25" i="51"/>
  <c r="AJ26" i="51"/>
  <c r="AJ27" i="51"/>
  <c r="AJ28" i="51"/>
  <c r="AL27" i="55"/>
  <c r="AL24" i="55"/>
  <c r="AL8" i="55"/>
  <c r="AL7" i="55"/>
  <c r="AL9" i="55"/>
  <c r="AL10" i="55"/>
  <c r="AL11" i="55"/>
  <c r="AL12" i="55"/>
  <c r="AL13" i="55"/>
  <c r="AL15" i="55"/>
  <c r="AL17" i="55"/>
  <c r="AL19" i="55"/>
  <c r="AL20" i="55"/>
  <c r="AL21" i="55"/>
  <c r="AL22" i="55"/>
  <c r="AL25" i="55"/>
  <c r="AL26" i="55"/>
  <c r="AK7" i="55"/>
  <c r="AK8" i="55"/>
  <c r="AK9" i="55"/>
  <c r="AK10" i="55"/>
  <c r="AK11" i="55"/>
  <c r="AK12" i="55"/>
  <c r="AK13" i="55"/>
  <c r="AK14" i="55"/>
  <c r="AL14" i="55" s="1"/>
  <c r="AK15" i="55"/>
  <c r="AK16" i="55"/>
  <c r="AL16" i="55" s="1"/>
  <c r="AK17" i="55"/>
  <c r="AK18" i="55"/>
  <c r="AL18" i="55" s="1"/>
  <c r="AK19" i="55"/>
  <c r="AK20" i="55"/>
  <c r="AK21" i="55"/>
  <c r="AK22" i="55"/>
  <c r="AK23" i="55"/>
  <c r="AL23" i="55" s="1"/>
  <c r="AK24" i="55"/>
  <c r="AK25" i="55"/>
  <c r="AK26" i="55"/>
  <c r="AK27" i="55"/>
  <c r="AK28" i="55"/>
  <c r="AL28" i="55" s="1"/>
  <c r="AL25" i="54"/>
  <c r="AL24" i="54"/>
  <c r="AL11" i="54"/>
  <c r="AL7" i="54"/>
  <c r="AL8" i="54"/>
  <c r="AL9" i="54"/>
  <c r="AL12" i="54"/>
  <c r="AL13" i="54"/>
  <c r="AL14" i="54"/>
  <c r="AL16" i="54"/>
  <c r="AL17" i="54"/>
  <c r="AL20" i="54"/>
  <c r="AL21" i="54"/>
  <c r="AL22" i="54"/>
  <c r="AL26" i="54"/>
  <c r="AL27" i="54"/>
  <c r="AL28" i="54"/>
  <c r="AL21" i="53"/>
  <c r="AL7" i="53"/>
  <c r="AL8" i="53"/>
  <c r="AL9" i="53"/>
  <c r="AL10" i="53"/>
  <c r="AL11" i="53"/>
  <c r="AL13" i="53"/>
  <c r="AL14" i="53"/>
  <c r="AL15" i="53"/>
  <c r="AL16" i="53"/>
  <c r="AL17" i="53"/>
  <c r="AL18" i="53"/>
  <c r="AL19" i="53"/>
  <c r="AL20" i="53"/>
  <c r="AL22" i="53"/>
  <c r="AL24" i="53"/>
  <c r="AL25" i="53"/>
  <c r="AL26" i="53"/>
  <c r="AL27" i="53"/>
  <c r="AL28" i="53"/>
  <c r="H34" i="53"/>
  <c r="D16" i="46"/>
  <c r="AL26" i="58"/>
  <c r="AL6" i="58"/>
  <c r="AL18" i="58"/>
  <c r="AK7" i="58"/>
  <c r="AL7" i="58" s="1"/>
  <c r="AK8" i="58"/>
  <c r="AL8" i="58" s="1"/>
  <c r="AK9" i="58"/>
  <c r="AL9" i="58" s="1"/>
  <c r="AK10" i="58"/>
  <c r="AL10" i="58" s="1"/>
  <c r="AK11" i="58"/>
  <c r="AL11" i="58" s="1"/>
  <c r="AK12" i="58"/>
  <c r="AL12" i="58" s="1"/>
  <c r="AK13" i="58"/>
  <c r="AL13" i="58" s="1"/>
  <c r="AK14" i="58"/>
  <c r="AL14" i="58" s="1"/>
  <c r="AK15" i="58"/>
  <c r="AL15" i="58" s="1"/>
  <c r="AK16" i="58"/>
  <c r="AL16" i="58" s="1"/>
  <c r="AK17" i="58"/>
  <c r="AL17" i="58" s="1"/>
  <c r="AK19" i="58"/>
  <c r="AL19" i="58" s="1"/>
  <c r="AK20" i="58"/>
  <c r="AL20" i="58" s="1"/>
  <c r="AK21" i="58"/>
  <c r="AL21" i="58" s="1"/>
  <c r="AK22" i="58"/>
  <c r="AL22" i="58" s="1"/>
  <c r="AK23" i="58"/>
  <c r="AL23" i="58" s="1"/>
  <c r="AK24" i="58"/>
  <c r="AL24" i="58" s="1"/>
  <c r="AK25" i="58"/>
  <c r="AL25" i="58" s="1"/>
  <c r="AK26" i="58"/>
  <c r="AK27" i="58"/>
  <c r="AL27" i="58" s="1"/>
  <c r="AK28" i="58"/>
  <c r="AL28" i="58" s="1"/>
  <c r="AL18" i="57"/>
  <c r="AL8" i="57"/>
  <c r="AK7" i="57"/>
  <c r="AL7" i="57" s="1"/>
  <c r="AK8" i="57"/>
  <c r="AK9" i="57"/>
  <c r="AL9" i="57" s="1"/>
  <c r="AK10" i="57"/>
  <c r="AL10" i="57" s="1"/>
  <c r="AK11" i="57"/>
  <c r="AL11" i="57" s="1"/>
  <c r="AK12" i="57"/>
  <c r="AL12" i="57" s="1"/>
  <c r="AK13" i="57"/>
  <c r="AL13" i="57" s="1"/>
  <c r="AK14" i="57"/>
  <c r="AL14" i="57" s="1"/>
  <c r="AK15" i="57"/>
  <c r="AL15" i="57" s="1"/>
  <c r="AK16" i="57"/>
  <c r="AK17" i="57"/>
  <c r="AL17" i="57" s="1"/>
  <c r="AK18" i="57"/>
  <c r="AK19" i="57"/>
  <c r="AL19" i="57" s="1"/>
  <c r="AK20" i="57"/>
  <c r="AL20" i="57" s="1"/>
  <c r="AK21" i="57"/>
  <c r="AL21" i="57" s="1"/>
  <c r="AK22" i="57"/>
  <c r="AL22" i="57" s="1"/>
  <c r="AK23" i="57"/>
  <c r="AL23" i="57" s="1"/>
  <c r="AK24" i="57"/>
  <c r="AL24" i="57" s="1"/>
  <c r="AK25" i="57"/>
  <c r="AK26" i="57"/>
  <c r="AL26" i="57" s="1"/>
  <c r="AK27" i="57"/>
  <c r="AL27" i="57" s="1"/>
  <c r="AK28" i="57"/>
  <c r="AL28" i="57" s="1"/>
  <c r="H17" i="50"/>
  <c r="I17" i="50"/>
  <c r="J17" i="50"/>
  <c r="K17" i="50"/>
  <c r="L17" i="50"/>
  <c r="M17" i="50"/>
  <c r="N17" i="50"/>
  <c r="O17" i="50"/>
  <c r="P17" i="50"/>
  <c r="Q17" i="50"/>
  <c r="R17" i="50"/>
  <c r="H16" i="50"/>
  <c r="I16" i="50"/>
  <c r="J16" i="50"/>
  <c r="K16" i="50"/>
  <c r="L16" i="50"/>
  <c r="M16" i="50"/>
  <c r="N16" i="50"/>
  <c r="O16" i="50"/>
  <c r="P16" i="50"/>
  <c r="Q16" i="50"/>
  <c r="R16" i="50"/>
  <c r="H15" i="50"/>
  <c r="I15" i="50"/>
  <c r="J15" i="50"/>
  <c r="K15" i="50"/>
  <c r="L15" i="50"/>
  <c r="M15" i="50"/>
  <c r="N15" i="50"/>
  <c r="O15" i="50"/>
  <c r="P15" i="50"/>
  <c r="Q15" i="50"/>
  <c r="R15" i="50"/>
  <c r="H14" i="50"/>
  <c r="I14" i="50"/>
  <c r="J14" i="50"/>
  <c r="K14" i="50"/>
  <c r="L14" i="50"/>
  <c r="M14" i="50"/>
  <c r="N14" i="50"/>
  <c r="O14" i="50"/>
  <c r="P14" i="50"/>
  <c r="Q14" i="50"/>
  <c r="R14" i="50"/>
  <c r="F18" i="59"/>
  <c r="AH31" i="47"/>
  <c r="C18" i="59"/>
  <c r="C10" i="59"/>
  <c r="D10" i="59"/>
  <c r="E10" i="59"/>
  <c r="G10" i="59" s="1"/>
  <c r="F10" i="59"/>
  <c r="C11" i="59"/>
  <c r="D11" i="59"/>
  <c r="G11" i="59" s="1"/>
  <c r="E11" i="59"/>
  <c r="F11" i="59"/>
  <c r="C12" i="59"/>
  <c r="D12" i="59"/>
  <c r="G12" i="59" s="1"/>
  <c r="E12" i="59"/>
  <c r="F12" i="59"/>
  <c r="P32" i="50"/>
  <c r="M32" i="50"/>
  <c r="J32" i="50"/>
  <c r="G32" i="50"/>
  <c r="G15" i="50"/>
  <c r="G17" i="50" s="1"/>
  <c r="G14" i="50"/>
  <c r="G16" i="50" s="1"/>
  <c r="R12" i="50"/>
  <c r="Q12" i="50"/>
  <c r="P12" i="50"/>
  <c r="O12" i="50"/>
  <c r="N12" i="50"/>
  <c r="M12" i="50"/>
  <c r="L12" i="50"/>
  <c r="K12" i="50"/>
  <c r="J12" i="50"/>
  <c r="I12" i="50"/>
  <c r="H12" i="50"/>
  <c r="G12" i="50"/>
  <c r="S5" i="50"/>
  <c r="G5" i="59"/>
  <c r="G4" i="59"/>
  <c r="G3" i="59"/>
  <c r="S12" i="50" l="1"/>
  <c r="J30" i="50"/>
  <c r="S32" i="50"/>
  <c r="S16" i="50"/>
  <c r="G30" i="50"/>
  <c r="S17" i="50"/>
  <c r="P30" i="50"/>
  <c r="M30" i="50"/>
  <c r="S15" i="50"/>
  <c r="S14" i="50"/>
  <c r="S30" i="50" l="1"/>
  <c r="AF31" i="58" l="1"/>
  <c r="AE31" i="58"/>
  <c r="AD31" i="58"/>
  <c r="AC31" i="58"/>
  <c r="AB31" i="58"/>
  <c r="AA31" i="58"/>
  <c r="Z31" i="58"/>
  <c r="Y31" i="58"/>
  <c r="X31" i="58"/>
  <c r="W31" i="58"/>
  <c r="V31" i="58"/>
  <c r="U31" i="58"/>
  <c r="T31" i="58"/>
  <c r="S31" i="58"/>
  <c r="R31" i="58"/>
  <c r="Q31" i="58"/>
  <c r="P31" i="58"/>
  <c r="O31" i="58"/>
  <c r="N31" i="58"/>
  <c r="M31" i="58"/>
  <c r="L31" i="58"/>
  <c r="K31" i="58"/>
  <c r="J31" i="58"/>
  <c r="I31" i="58"/>
  <c r="H31" i="58"/>
  <c r="G31" i="58"/>
  <c r="F31" i="58"/>
  <c r="E31" i="58"/>
  <c r="D31" i="58"/>
  <c r="C31" i="58"/>
  <c r="B31" i="58"/>
  <c r="AI30" i="58"/>
  <c r="AF29" i="58"/>
  <c r="AE29" i="58"/>
  <c r="AD29" i="58"/>
  <c r="AC29" i="58"/>
  <c r="AB29" i="58"/>
  <c r="AA29" i="58"/>
  <c r="Z29" i="58"/>
  <c r="Y29" i="58"/>
  <c r="X29" i="58"/>
  <c r="W29" i="58"/>
  <c r="V29" i="58"/>
  <c r="U29" i="58"/>
  <c r="T29" i="58"/>
  <c r="S29" i="58"/>
  <c r="R29" i="58"/>
  <c r="Q29" i="58"/>
  <c r="P29" i="58"/>
  <c r="O29" i="58"/>
  <c r="N29" i="58"/>
  <c r="M29" i="58"/>
  <c r="L29" i="58"/>
  <c r="K29" i="58"/>
  <c r="J29" i="58"/>
  <c r="I29" i="58"/>
  <c r="H29" i="58"/>
  <c r="G29" i="58"/>
  <c r="F29" i="58"/>
  <c r="E29" i="58"/>
  <c r="D29" i="58"/>
  <c r="C29" i="58"/>
  <c r="B29" i="58"/>
  <c r="AH28" i="58"/>
  <c r="AG28" i="58"/>
  <c r="AH27" i="58"/>
  <c r="AG27" i="58"/>
  <c r="AH26" i="58"/>
  <c r="AG26" i="58"/>
  <c r="AH25" i="58"/>
  <c r="AG25" i="58"/>
  <c r="AH24" i="58"/>
  <c r="AG24" i="58"/>
  <c r="AH23" i="58"/>
  <c r="AG23" i="58"/>
  <c r="AH22" i="58"/>
  <c r="AG22" i="58"/>
  <c r="AH21" i="58"/>
  <c r="AG21" i="58"/>
  <c r="AH20" i="58"/>
  <c r="AG20" i="58"/>
  <c r="AH19" i="58"/>
  <c r="AG19" i="58"/>
  <c r="AH18" i="58"/>
  <c r="AG18" i="58"/>
  <c r="AH17" i="58"/>
  <c r="AG17" i="58"/>
  <c r="AH16" i="58"/>
  <c r="AG16" i="58"/>
  <c r="AH15" i="58"/>
  <c r="AG15" i="58"/>
  <c r="AH14" i="58"/>
  <c r="AG14" i="58"/>
  <c r="AH13" i="58"/>
  <c r="AG13" i="58"/>
  <c r="AH12" i="58"/>
  <c r="AG12" i="58"/>
  <c r="AH11" i="58"/>
  <c r="AG11" i="58"/>
  <c r="AH10" i="58"/>
  <c r="AG10" i="58"/>
  <c r="AH9" i="58"/>
  <c r="AG9" i="58"/>
  <c r="AH8" i="58"/>
  <c r="AG8" i="58"/>
  <c r="AH7" i="58"/>
  <c r="AG7" i="58"/>
  <c r="AK6" i="58"/>
  <c r="AH6" i="58"/>
  <c r="AG6" i="58"/>
  <c r="AK29" i="58" l="1"/>
  <c r="AH31" i="58"/>
  <c r="AH29" i="58"/>
  <c r="AL6" i="56"/>
  <c r="AL8" i="56"/>
  <c r="AK7" i="56"/>
  <c r="AL7" i="56" s="1"/>
  <c r="AK9" i="56"/>
  <c r="AK10" i="56"/>
  <c r="AL10" i="56" s="1"/>
  <c r="AK11" i="56"/>
  <c r="AL11" i="56" s="1"/>
  <c r="AK12" i="56"/>
  <c r="AL12" i="56" s="1"/>
  <c r="AK13" i="56"/>
  <c r="AL13" i="56" s="1"/>
  <c r="AK14" i="56"/>
  <c r="AL14" i="56" s="1"/>
  <c r="AK15" i="56"/>
  <c r="AK16" i="56"/>
  <c r="AL16" i="56" s="1"/>
  <c r="AK17" i="56"/>
  <c r="AL17" i="56" s="1"/>
  <c r="AK18" i="56"/>
  <c r="AL18" i="56" s="1"/>
  <c r="AK19" i="56"/>
  <c r="AL19" i="56" s="1"/>
  <c r="AK20" i="56"/>
  <c r="AL20" i="56" s="1"/>
  <c r="AK21" i="56"/>
  <c r="AK22" i="56"/>
  <c r="AL22" i="56" s="1"/>
  <c r="AK23" i="56"/>
  <c r="AL23" i="56" s="1"/>
  <c r="AK24" i="56"/>
  <c r="AL24" i="56" s="1"/>
  <c r="AK25" i="56"/>
  <c r="AK26" i="56"/>
  <c r="AL26" i="56" s="1"/>
  <c r="AK27" i="56"/>
  <c r="AL27" i="56" s="1"/>
  <c r="AK28" i="56"/>
  <c r="AL28" i="56" s="1"/>
  <c r="AJ8" i="58"/>
  <c r="AJ18" i="58"/>
  <c r="AJ19" i="58"/>
  <c r="AJ21" i="58"/>
  <c r="AJ7" i="58"/>
  <c r="AJ9" i="58"/>
  <c r="AJ10" i="58"/>
  <c r="AJ11" i="58"/>
  <c r="AJ12" i="58"/>
  <c r="AJ13" i="58"/>
  <c r="AJ14" i="58"/>
  <c r="AJ15" i="58"/>
  <c r="AJ17" i="58"/>
  <c r="AJ20" i="58"/>
  <c r="AJ22" i="58"/>
  <c r="AJ23" i="58"/>
  <c r="AJ24" i="58"/>
  <c r="AJ26" i="58"/>
  <c r="AJ27" i="58"/>
  <c r="AJ28" i="58"/>
  <c r="AJ6" i="57"/>
  <c r="AF31" i="57"/>
  <c r="AE31" i="57"/>
  <c r="AD31" i="57"/>
  <c r="AC31" i="57"/>
  <c r="AB31" i="57"/>
  <c r="AA31" i="57"/>
  <c r="Z31" i="57"/>
  <c r="Y31" i="57"/>
  <c r="X31" i="57"/>
  <c r="W31" i="57"/>
  <c r="V31" i="57"/>
  <c r="U31" i="57"/>
  <c r="T31" i="57"/>
  <c r="S31" i="57"/>
  <c r="R31" i="57"/>
  <c r="Q31" i="57"/>
  <c r="P31" i="57"/>
  <c r="O31" i="57"/>
  <c r="N31" i="57"/>
  <c r="M31" i="57"/>
  <c r="L31" i="57"/>
  <c r="K31" i="57"/>
  <c r="J31" i="57"/>
  <c r="I31" i="57"/>
  <c r="H31" i="57"/>
  <c r="G31" i="57"/>
  <c r="F31" i="57"/>
  <c r="E31" i="57"/>
  <c r="D31" i="57"/>
  <c r="C31" i="57"/>
  <c r="B31" i="57"/>
  <c r="AI30" i="57"/>
  <c r="AF29" i="57"/>
  <c r="AE29" i="57"/>
  <c r="AD29" i="57"/>
  <c r="AC29" i="57"/>
  <c r="AB29" i="57"/>
  <c r="AA29" i="57"/>
  <c r="Z29" i="57"/>
  <c r="Y29" i="57"/>
  <c r="X29" i="57"/>
  <c r="W29" i="57"/>
  <c r="V29" i="57"/>
  <c r="U29" i="57"/>
  <c r="T29" i="57"/>
  <c r="S29" i="57"/>
  <c r="R29" i="57"/>
  <c r="Q29" i="57"/>
  <c r="P29" i="57"/>
  <c r="O29" i="57"/>
  <c r="N29" i="57"/>
  <c r="M29" i="57"/>
  <c r="L29" i="57"/>
  <c r="K29" i="57"/>
  <c r="J29" i="57"/>
  <c r="I29" i="57"/>
  <c r="H29" i="57"/>
  <c r="G29" i="57"/>
  <c r="F29" i="57"/>
  <c r="E29" i="57"/>
  <c r="D29" i="57"/>
  <c r="C29" i="57"/>
  <c r="B29" i="57"/>
  <c r="AH28" i="57"/>
  <c r="AG28" i="57"/>
  <c r="AH27" i="57"/>
  <c r="AG27" i="57"/>
  <c r="AH26" i="57"/>
  <c r="AG26" i="57"/>
  <c r="AH25" i="57"/>
  <c r="AG25" i="57"/>
  <c r="AH24" i="57"/>
  <c r="AG24" i="57"/>
  <c r="AH23" i="57"/>
  <c r="AG23" i="57"/>
  <c r="AH22" i="57"/>
  <c r="AG22" i="57"/>
  <c r="AH21" i="57"/>
  <c r="AG21" i="57"/>
  <c r="AH20" i="57"/>
  <c r="AG20" i="57"/>
  <c r="AH19" i="57"/>
  <c r="AG19" i="57"/>
  <c r="AH18" i="57"/>
  <c r="AG18" i="57"/>
  <c r="AH17" i="57"/>
  <c r="AG17" i="57"/>
  <c r="AH16" i="57"/>
  <c r="AG16" i="57"/>
  <c r="AH15" i="57"/>
  <c r="AG15" i="57"/>
  <c r="AH14" i="57"/>
  <c r="AG14" i="57"/>
  <c r="AH13" i="57"/>
  <c r="AG13" i="57"/>
  <c r="AH12" i="57"/>
  <c r="AG12" i="57"/>
  <c r="AH11" i="57"/>
  <c r="AG11" i="57"/>
  <c r="AH10" i="57"/>
  <c r="AG10" i="57"/>
  <c r="AH9" i="57"/>
  <c r="AG9" i="57"/>
  <c r="AH8" i="57"/>
  <c r="AG8" i="57"/>
  <c r="AH7" i="57"/>
  <c r="AG7" i="57"/>
  <c r="AL6" i="57"/>
  <c r="AJ6" i="58" s="1"/>
  <c r="AH6" i="57"/>
  <c r="AG6" i="57"/>
  <c r="AK29" i="57" l="1"/>
  <c r="AH29" i="57"/>
  <c r="AH31" i="57"/>
  <c r="AJ9" i="56"/>
  <c r="AL9" i="56" s="1"/>
  <c r="AJ9" i="57" s="1"/>
  <c r="AJ16" i="56"/>
  <c r="AF31" i="56"/>
  <c r="AE31" i="56"/>
  <c r="AD31" i="56"/>
  <c r="AC31" i="56"/>
  <c r="AB31" i="56"/>
  <c r="AA31" i="56"/>
  <c r="Z31" i="56"/>
  <c r="Y31" i="56"/>
  <c r="X31" i="56"/>
  <c r="W31" i="56"/>
  <c r="V31" i="56"/>
  <c r="U31" i="56"/>
  <c r="T31" i="56"/>
  <c r="S31" i="56"/>
  <c r="R31" i="56"/>
  <c r="Q31" i="56"/>
  <c r="P31" i="56"/>
  <c r="O31" i="56"/>
  <c r="N31" i="56"/>
  <c r="M31" i="56"/>
  <c r="L31" i="56"/>
  <c r="K31" i="56"/>
  <c r="J31" i="56"/>
  <c r="I31" i="56"/>
  <c r="H31" i="56"/>
  <c r="G31" i="56"/>
  <c r="F31" i="56"/>
  <c r="E31" i="56"/>
  <c r="D31" i="56"/>
  <c r="C31" i="56"/>
  <c r="B31" i="56"/>
  <c r="AI30" i="56"/>
  <c r="AF29" i="56"/>
  <c r="AE29" i="56"/>
  <c r="AD29" i="56"/>
  <c r="AC29" i="56"/>
  <c r="AB29" i="56"/>
  <c r="AA29" i="56"/>
  <c r="Z29" i="56"/>
  <c r="Y29" i="56"/>
  <c r="X29" i="56"/>
  <c r="W29" i="56"/>
  <c r="V29" i="56"/>
  <c r="U29" i="56"/>
  <c r="T29" i="56"/>
  <c r="S29" i="56"/>
  <c r="R29" i="56"/>
  <c r="Q29" i="56"/>
  <c r="P29" i="56"/>
  <c r="O29" i="56"/>
  <c r="N29" i="56"/>
  <c r="M29" i="56"/>
  <c r="L29" i="56"/>
  <c r="K29" i="56"/>
  <c r="J29" i="56"/>
  <c r="I29" i="56"/>
  <c r="H29" i="56"/>
  <c r="G29" i="56"/>
  <c r="F29" i="56"/>
  <c r="E29" i="56"/>
  <c r="D29" i="56"/>
  <c r="C29" i="56"/>
  <c r="B29" i="56"/>
  <c r="AJ28" i="57"/>
  <c r="AH28" i="56"/>
  <c r="AG28" i="56"/>
  <c r="AJ27" i="57"/>
  <c r="AH27" i="56"/>
  <c r="AG27" i="56"/>
  <c r="AJ26" i="57"/>
  <c r="AH26" i="56"/>
  <c r="AG26" i="56"/>
  <c r="AH25" i="56"/>
  <c r="AG25" i="56"/>
  <c r="AJ24" i="57"/>
  <c r="AH24" i="56"/>
  <c r="AG24" i="56"/>
  <c r="AJ23" i="57"/>
  <c r="AH23" i="56"/>
  <c r="AG23" i="56"/>
  <c r="AJ22" i="57"/>
  <c r="AH22" i="56"/>
  <c r="AG22" i="56"/>
  <c r="AH21" i="56"/>
  <c r="AG21" i="56"/>
  <c r="AJ20" i="57"/>
  <c r="AH20" i="56"/>
  <c r="AG20" i="56"/>
  <c r="AJ19" i="57"/>
  <c r="AH19" i="56"/>
  <c r="AG19" i="56"/>
  <c r="AJ18" i="57"/>
  <c r="AH18" i="56"/>
  <c r="AG18" i="56"/>
  <c r="AJ17" i="57"/>
  <c r="AH17" i="56"/>
  <c r="AG17" i="56"/>
  <c r="AJ16" i="57"/>
  <c r="AL16" i="57" s="1"/>
  <c r="AJ16" i="58" s="1"/>
  <c r="AH16" i="56"/>
  <c r="AG16" i="56"/>
  <c r="AH15" i="56"/>
  <c r="AG15" i="56"/>
  <c r="AJ14" i="57"/>
  <c r="AH14" i="56"/>
  <c r="AG14" i="56"/>
  <c r="AJ13" i="57"/>
  <c r="AH13" i="56"/>
  <c r="AG13" i="56"/>
  <c r="AJ12" i="57"/>
  <c r="AH12" i="56"/>
  <c r="AG12" i="56"/>
  <c r="AJ11" i="57"/>
  <c r="AH11" i="56"/>
  <c r="AG11" i="56"/>
  <c r="AJ10" i="57"/>
  <c r="AH10" i="56"/>
  <c r="AG10" i="56"/>
  <c r="AH9" i="56"/>
  <c r="AG9" i="56"/>
  <c r="AJ8" i="57"/>
  <c r="AH8" i="56"/>
  <c r="AG8" i="56"/>
  <c r="AJ7" i="57"/>
  <c r="AH7" i="56"/>
  <c r="AG7" i="56"/>
  <c r="AK6" i="56"/>
  <c r="AH6" i="56"/>
  <c r="AG6" i="56"/>
  <c r="AJ27" i="55"/>
  <c r="AJ27" i="56" s="1"/>
  <c r="AK7" i="54"/>
  <c r="AK8" i="54"/>
  <c r="AJ8" i="55" s="1"/>
  <c r="AK9" i="54"/>
  <c r="AJ9" i="55" s="1"/>
  <c r="AK10" i="54"/>
  <c r="AK11" i="54"/>
  <c r="AK12" i="54"/>
  <c r="AJ12" i="55" s="1"/>
  <c r="AK13" i="54"/>
  <c r="AJ13" i="55" s="1"/>
  <c r="AK14" i="54"/>
  <c r="AJ14" i="55" s="1"/>
  <c r="AK15" i="54"/>
  <c r="AL15" i="54" s="1"/>
  <c r="AK16" i="54"/>
  <c r="AJ16" i="55" s="1"/>
  <c r="AK17" i="54"/>
  <c r="AJ17" i="55" s="1"/>
  <c r="AK18" i="54"/>
  <c r="AK19" i="54"/>
  <c r="AL19" i="54" s="1"/>
  <c r="AK20" i="54"/>
  <c r="AJ20" i="55" s="1"/>
  <c r="AJ21" i="55"/>
  <c r="AK22" i="54"/>
  <c r="AJ22" i="55" s="1"/>
  <c r="AK23" i="54"/>
  <c r="AK24" i="54"/>
  <c r="AK25" i="54"/>
  <c r="AK26" i="54"/>
  <c r="AJ26" i="55" s="1"/>
  <c r="AK28" i="54"/>
  <c r="AJ28" i="55" s="1"/>
  <c r="AF31" i="55"/>
  <c r="AE31" i="55"/>
  <c r="AD31" i="55"/>
  <c r="AC31" i="55"/>
  <c r="AB31" i="55"/>
  <c r="AA31" i="55"/>
  <c r="Z31" i="55"/>
  <c r="Y31" i="55"/>
  <c r="X31" i="55"/>
  <c r="W31" i="55"/>
  <c r="V31" i="55"/>
  <c r="U31" i="55"/>
  <c r="T31" i="55"/>
  <c r="S31" i="55"/>
  <c r="R31" i="55"/>
  <c r="Q31" i="55"/>
  <c r="P31" i="55"/>
  <c r="O31" i="55"/>
  <c r="N31" i="55"/>
  <c r="M31" i="55"/>
  <c r="L31" i="55"/>
  <c r="K31" i="55"/>
  <c r="J31" i="55"/>
  <c r="I31" i="55"/>
  <c r="H31" i="55"/>
  <c r="G31" i="55"/>
  <c r="F31" i="55"/>
  <c r="E31" i="55"/>
  <c r="D31" i="55"/>
  <c r="C31" i="55"/>
  <c r="B31" i="55"/>
  <c r="AI30" i="55"/>
  <c r="AF29" i="55"/>
  <c r="AE29" i="55"/>
  <c r="AD29" i="55"/>
  <c r="AC29" i="55"/>
  <c r="AB29" i="55"/>
  <c r="AA29" i="55"/>
  <c r="Z29" i="55"/>
  <c r="Y29" i="55"/>
  <c r="X29" i="55"/>
  <c r="W29" i="55"/>
  <c r="V29" i="55"/>
  <c r="U29" i="55"/>
  <c r="T29" i="55"/>
  <c r="S29" i="55"/>
  <c r="R29" i="55"/>
  <c r="Q29" i="55"/>
  <c r="P29" i="55"/>
  <c r="O29" i="55"/>
  <c r="N29" i="55"/>
  <c r="M29" i="55"/>
  <c r="L29" i="55"/>
  <c r="K29" i="55"/>
  <c r="J29" i="55"/>
  <c r="I29" i="55"/>
  <c r="H29" i="55"/>
  <c r="G29" i="55"/>
  <c r="F29" i="55"/>
  <c r="E29" i="55"/>
  <c r="D29" i="55"/>
  <c r="C29" i="55"/>
  <c r="B29" i="55"/>
  <c r="AJ28" i="56"/>
  <c r="AH28" i="55"/>
  <c r="AG28" i="55"/>
  <c r="AH27" i="55"/>
  <c r="AG27" i="55"/>
  <c r="AJ26" i="56"/>
  <c r="AH26" i="55"/>
  <c r="AG26" i="55"/>
  <c r="AJ25" i="56"/>
  <c r="AL25" i="56" s="1"/>
  <c r="AJ25" i="57" s="1"/>
  <c r="AL25" i="57" s="1"/>
  <c r="AJ25" i="58" s="1"/>
  <c r="AH25" i="55"/>
  <c r="AG25" i="55"/>
  <c r="AH24" i="55"/>
  <c r="AG24" i="55"/>
  <c r="AH23" i="55"/>
  <c r="AG23" i="55"/>
  <c r="AJ22" i="56"/>
  <c r="AH22" i="55"/>
  <c r="AG22" i="55"/>
  <c r="AJ21" i="56"/>
  <c r="AL21" i="56" s="1"/>
  <c r="AJ21" i="57" s="1"/>
  <c r="AH21" i="55"/>
  <c r="AG21" i="55"/>
  <c r="AJ20" i="56"/>
  <c r="AH20" i="55"/>
  <c r="AG20" i="55"/>
  <c r="AJ19" i="56"/>
  <c r="AH19" i="55"/>
  <c r="AG19" i="55"/>
  <c r="AJ18" i="56"/>
  <c r="AH18" i="55"/>
  <c r="AG18" i="55"/>
  <c r="AJ17" i="56"/>
  <c r="AH17" i="55"/>
  <c r="AG17" i="55"/>
  <c r="AH16" i="55"/>
  <c r="AG16" i="55"/>
  <c r="AJ15" i="56"/>
  <c r="AL15" i="56" s="1"/>
  <c r="AJ15" i="57" s="1"/>
  <c r="AH15" i="55"/>
  <c r="AG15" i="55"/>
  <c r="AJ14" i="56"/>
  <c r="AH14" i="55"/>
  <c r="AG14" i="55"/>
  <c r="AJ13" i="56"/>
  <c r="AH13" i="55"/>
  <c r="AG13" i="55"/>
  <c r="AJ12" i="56"/>
  <c r="AH12" i="55"/>
  <c r="AG12" i="55"/>
  <c r="AJ11" i="56"/>
  <c r="AH11" i="55"/>
  <c r="AG11" i="55"/>
  <c r="AJ10" i="56"/>
  <c r="AH10" i="55"/>
  <c r="AG10" i="55"/>
  <c r="AH9" i="55"/>
  <c r="AG9" i="55"/>
  <c r="AJ8" i="56"/>
  <c r="AH8" i="55"/>
  <c r="AG8" i="55"/>
  <c r="AJ7" i="56"/>
  <c r="AH7" i="55"/>
  <c r="AG7" i="55"/>
  <c r="AK6" i="55"/>
  <c r="AL6" i="55" s="1"/>
  <c r="AJ6" i="56" s="1"/>
  <c r="AH6" i="55"/>
  <c r="AG6" i="55"/>
  <c r="AJ9" i="54"/>
  <c r="AK7" i="53"/>
  <c r="AJ7" i="54" s="1"/>
  <c r="AK8" i="53"/>
  <c r="AJ8" i="54" s="1"/>
  <c r="AK10" i="53"/>
  <c r="AK11" i="53"/>
  <c r="AJ11" i="54" s="1"/>
  <c r="AK12" i="53"/>
  <c r="AK13" i="53"/>
  <c r="AJ13" i="54" s="1"/>
  <c r="AK14" i="53"/>
  <c r="AJ14" i="54" s="1"/>
  <c r="AK15" i="53"/>
  <c r="AJ15" i="54" s="1"/>
  <c r="AK16" i="53"/>
  <c r="AJ16" i="54" s="1"/>
  <c r="AK17" i="53"/>
  <c r="AJ17" i="54" s="1"/>
  <c r="AK18" i="53"/>
  <c r="AK19" i="53"/>
  <c r="AJ19" i="54" s="1"/>
  <c r="AK20" i="53"/>
  <c r="AJ20" i="54" s="1"/>
  <c r="AK21" i="53"/>
  <c r="AK22" i="53"/>
  <c r="AK23" i="53"/>
  <c r="AK24" i="53"/>
  <c r="AJ24" i="54" s="1"/>
  <c r="AJ24" i="55" s="1"/>
  <c r="AJ24" i="56" s="1"/>
  <c r="AK25" i="53"/>
  <c r="AJ25" i="54" s="1"/>
  <c r="AJ25" i="55" s="1"/>
  <c r="AK26" i="53"/>
  <c r="AJ26" i="54" s="1"/>
  <c r="AK27" i="53"/>
  <c r="AJ27" i="54" s="1"/>
  <c r="AK28" i="53"/>
  <c r="AJ28" i="54" s="1"/>
  <c r="AF31" i="54"/>
  <c r="AE31" i="54"/>
  <c r="AD31" i="54"/>
  <c r="AC31" i="54"/>
  <c r="AB31" i="54"/>
  <c r="AA31" i="54"/>
  <c r="Z31" i="54"/>
  <c r="Y31" i="54"/>
  <c r="X31" i="54"/>
  <c r="W31" i="54"/>
  <c r="V31" i="54"/>
  <c r="U31" i="54"/>
  <c r="T31" i="54"/>
  <c r="S31" i="54"/>
  <c r="R31" i="54"/>
  <c r="Q31" i="54"/>
  <c r="P31" i="54"/>
  <c r="O31" i="54"/>
  <c r="N31" i="54"/>
  <c r="M31" i="54"/>
  <c r="L31" i="54"/>
  <c r="K31" i="54"/>
  <c r="J31" i="54"/>
  <c r="I31" i="54"/>
  <c r="H31" i="54"/>
  <c r="G31" i="54"/>
  <c r="F31" i="54"/>
  <c r="E31" i="54"/>
  <c r="D31" i="54"/>
  <c r="C31" i="54"/>
  <c r="B31" i="54"/>
  <c r="AI30" i="54"/>
  <c r="AF29" i="54"/>
  <c r="AE29" i="54"/>
  <c r="AD29" i="54"/>
  <c r="AC29" i="54"/>
  <c r="AB29" i="54"/>
  <c r="AA29" i="54"/>
  <c r="Z29" i="54"/>
  <c r="Y29" i="54"/>
  <c r="X29" i="54"/>
  <c r="W29" i="54"/>
  <c r="V29" i="54"/>
  <c r="U29" i="54"/>
  <c r="T29" i="54"/>
  <c r="S29" i="54"/>
  <c r="R29" i="54"/>
  <c r="Q29" i="54"/>
  <c r="P29" i="54"/>
  <c r="O29" i="54"/>
  <c r="N29" i="54"/>
  <c r="M29" i="54"/>
  <c r="L29" i="54"/>
  <c r="K29" i="54"/>
  <c r="J29" i="54"/>
  <c r="I29" i="54"/>
  <c r="H29" i="54"/>
  <c r="G29" i="54"/>
  <c r="F29" i="54"/>
  <c r="E29" i="54"/>
  <c r="D29" i="54"/>
  <c r="C29" i="54"/>
  <c r="B29" i="54"/>
  <c r="AH28" i="54"/>
  <c r="AG28" i="54"/>
  <c r="AH27" i="54"/>
  <c r="AG27" i="54"/>
  <c r="AH26" i="54"/>
  <c r="AG26" i="54"/>
  <c r="AH25" i="54"/>
  <c r="AG25" i="54"/>
  <c r="AH24" i="54"/>
  <c r="AG24" i="54"/>
  <c r="AH23" i="54"/>
  <c r="AG23" i="54"/>
  <c r="AH22" i="54"/>
  <c r="AG22" i="54"/>
  <c r="AH21" i="54"/>
  <c r="AG21" i="54"/>
  <c r="AH20" i="54"/>
  <c r="AG20" i="54"/>
  <c r="AH19" i="54"/>
  <c r="AG19" i="54"/>
  <c r="AH18" i="54"/>
  <c r="AG18" i="54"/>
  <c r="AH17" i="54"/>
  <c r="AG17" i="54"/>
  <c r="AH16" i="54"/>
  <c r="AG16" i="54"/>
  <c r="AH15" i="54"/>
  <c r="AG15" i="54"/>
  <c r="AH14" i="54"/>
  <c r="AG14" i="54"/>
  <c r="AH13" i="54"/>
  <c r="AG13" i="54"/>
  <c r="AH12" i="54"/>
  <c r="AG12" i="54"/>
  <c r="AH11" i="54"/>
  <c r="AG11" i="54"/>
  <c r="AH10" i="54"/>
  <c r="AG10" i="54"/>
  <c r="AH9" i="54"/>
  <c r="AG9" i="54"/>
  <c r="AH8" i="54"/>
  <c r="AG8" i="54"/>
  <c r="AH7" i="54"/>
  <c r="AG7" i="54"/>
  <c r="AK6" i="54"/>
  <c r="AL6" i="54" s="1"/>
  <c r="AJ6" i="55" s="1"/>
  <c r="AH6" i="54"/>
  <c r="AG6" i="54"/>
  <c r="AL11" i="52"/>
  <c r="AK7" i="52"/>
  <c r="AL7" i="52" s="1"/>
  <c r="AJ7" i="53" s="1"/>
  <c r="AK8" i="52"/>
  <c r="AL8" i="52" s="1"/>
  <c r="AJ8" i="53" s="1"/>
  <c r="AK9" i="52"/>
  <c r="AL9" i="52" s="1"/>
  <c r="AJ9" i="53" s="1"/>
  <c r="AK10" i="52"/>
  <c r="AL10" i="52" s="1"/>
  <c r="AJ10" i="53" s="1"/>
  <c r="AK12" i="52"/>
  <c r="AL12" i="52" s="1"/>
  <c r="AJ12" i="53" s="1"/>
  <c r="AK13" i="52"/>
  <c r="AK14" i="52"/>
  <c r="AL14" i="52" s="1"/>
  <c r="AJ14" i="53" s="1"/>
  <c r="AK15" i="52"/>
  <c r="AK16" i="52"/>
  <c r="AL16" i="52" s="1"/>
  <c r="AJ16" i="53" s="1"/>
  <c r="AK17" i="52"/>
  <c r="AL17" i="52" s="1"/>
  <c r="AJ17" i="53" s="1"/>
  <c r="AK18" i="52"/>
  <c r="AL18" i="52" s="1"/>
  <c r="AJ18" i="53" s="1"/>
  <c r="AK19" i="52"/>
  <c r="AK20" i="52"/>
  <c r="AL20" i="52" s="1"/>
  <c r="AJ20" i="53" s="1"/>
  <c r="AK21" i="52"/>
  <c r="AL21" i="52" s="1"/>
  <c r="AJ21" i="53" s="1"/>
  <c r="AK22" i="52"/>
  <c r="AK23" i="52"/>
  <c r="AK24" i="52"/>
  <c r="AL24" i="52" s="1"/>
  <c r="AJ24" i="53" s="1"/>
  <c r="AK25" i="52"/>
  <c r="AL25" i="52" s="1"/>
  <c r="AJ25" i="53" s="1"/>
  <c r="AK26" i="52"/>
  <c r="AL26" i="52" s="1"/>
  <c r="AJ26" i="53" s="1"/>
  <c r="AK27" i="52"/>
  <c r="AL27" i="52" s="1"/>
  <c r="AK28" i="52"/>
  <c r="AL28" i="52" s="1"/>
  <c r="AJ28" i="53" s="1"/>
  <c r="AJ21" i="54"/>
  <c r="AF31" i="53"/>
  <c r="AE31" i="53"/>
  <c r="AD31" i="53"/>
  <c r="AC31" i="53"/>
  <c r="AB31" i="53"/>
  <c r="AA31" i="53"/>
  <c r="Z31" i="53"/>
  <c r="Y31" i="53"/>
  <c r="X31" i="53"/>
  <c r="W31" i="53"/>
  <c r="V31" i="53"/>
  <c r="U31" i="53"/>
  <c r="T31" i="53"/>
  <c r="S31" i="53"/>
  <c r="R31" i="53"/>
  <c r="Q31" i="53"/>
  <c r="P31" i="53"/>
  <c r="O31" i="53"/>
  <c r="N31" i="53"/>
  <c r="M31" i="53"/>
  <c r="L31" i="53"/>
  <c r="K31" i="53"/>
  <c r="J31" i="53"/>
  <c r="I31" i="53"/>
  <c r="H31" i="53"/>
  <c r="G31" i="53"/>
  <c r="F31" i="53"/>
  <c r="E31" i="53"/>
  <c r="D31" i="53"/>
  <c r="C31" i="53"/>
  <c r="B31" i="53"/>
  <c r="AI30" i="53"/>
  <c r="AF29" i="53"/>
  <c r="AE29" i="53"/>
  <c r="AD29" i="53"/>
  <c r="AC29" i="53"/>
  <c r="AB29" i="53"/>
  <c r="AA29" i="53"/>
  <c r="Z29" i="53"/>
  <c r="Y29" i="53"/>
  <c r="X29" i="53"/>
  <c r="W29" i="53"/>
  <c r="V29" i="53"/>
  <c r="U29" i="53"/>
  <c r="T29" i="53"/>
  <c r="S29" i="53"/>
  <c r="R29" i="53"/>
  <c r="Q29" i="53"/>
  <c r="P29" i="53"/>
  <c r="O29" i="53"/>
  <c r="N29" i="53"/>
  <c r="M29" i="53"/>
  <c r="L29" i="53"/>
  <c r="K29" i="53"/>
  <c r="J29" i="53"/>
  <c r="I29" i="53"/>
  <c r="H29" i="53"/>
  <c r="G29" i="53"/>
  <c r="F29" i="53"/>
  <c r="E29" i="53"/>
  <c r="D29" i="53"/>
  <c r="C29" i="53"/>
  <c r="B29" i="53"/>
  <c r="AH28" i="53"/>
  <c r="AG28" i="53"/>
  <c r="AH27" i="53"/>
  <c r="AG27" i="53"/>
  <c r="AH26" i="53"/>
  <c r="AG26" i="53"/>
  <c r="AH25" i="53"/>
  <c r="AG25" i="53"/>
  <c r="AH24" i="53"/>
  <c r="AG24" i="53"/>
  <c r="AH23" i="53"/>
  <c r="AG23" i="53"/>
  <c r="AH22" i="53"/>
  <c r="AG22" i="53"/>
  <c r="AH21" i="53"/>
  <c r="AG21" i="53"/>
  <c r="AH20" i="53"/>
  <c r="AG20" i="53"/>
  <c r="AH19" i="53"/>
  <c r="AG19" i="53"/>
  <c r="AH18" i="53"/>
  <c r="AG18" i="53"/>
  <c r="AH17" i="53"/>
  <c r="AG17" i="53"/>
  <c r="AH16" i="53"/>
  <c r="AG16" i="53"/>
  <c r="AH15" i="53"/>
  <c r="AG15" i="53"/>
  <c r="AH14" i="53"/>
  <c r="AG14" i="53"/>
  <c r="AH13" i="53"/>
  <c r="AG13" i="53"/>
  <c r="AH12" i="53"/>
  <c r="AG12" i="53"/>
  <c r="AH11" i="53"/>
  <c r="AG11" i="53"/>
  <c r="AH10" i="53"/>
  <c r="AG10" i="53"/>
  <c r="AH9" i="53"/>
  <c r="AG9" i="53"/>
  <c r="AH8" i="53"/>
  <c r="AG8" i="53"/>
  <c r="AH7" i="53"/>
  <c r="AG7" i="53"/>
  <c r="AK6" i="53"/>
  <c r="AL6" i="53" s="1"/>
  <c r="AJ6" i="54" s="1"/>
  <c r="AH6" i="53"/>
  <c r="AG6" i="53"/>
  <c r="AL27" i="51"/>
  <c r="AJ27" i="52" s="1"/>
  <c r="AL19" i="51"/>
  <c r="AJ19" i="52" s="1"/>
  <c r="AL14" i="51"/>
  <c r="AL12" i="51"/>
  <c r="AJ12" i="52" s="1"/>
  <c r="AL11" i="51"/>
  <c r="AJ11" i="52" s="1"/>
  <c r="AL9" i="51"/>
  <c r="AJ9" i="52" s="1"/>
  <c r="AL7" i="51"/>
  <c r="AJ7" i="52"/>
  <c r="AL8" i="51"/>
  <c r="AJ8" i="52" s="1"/>
  <c r="AL10" i="51"/>
  <c r="AL16" i="51"/>
  <c r="AL17" i="51"/>
  <c r="AL18" i="51"/>
  <c r="AL20" i="51"/>
  <c r="AJ20" i="52" s="1"/>
  <c r="AL21" i="51"/>
  <c r="AL23" i="51"/>
  <c r="AL24" i="51"/>
  <c r="AL25" i="51"/>
  <c r="AJ25" i="52" s="1"/>
  <c r="AL26" i="51"/>
  <c r="AL13" i="51"/>
  <c r="AJ13" i="52" s="1"/>
  <c r="AL13" i="52" s="1"/>
  <c r="AL15" i="51"/>
  <c r="AJ15" i="52" s="1"/>
  <c r="AL15" i="52" s="1"/>
  <c r="AL22" i="51"/>
  <c r="AL28" i="51"/>
  <c r="AJ28" i="52" s="1"/>
  <c r="AJ16" i="52"/>
  <c r="AJ17" i="52"/>
  <c r="AJ21" i="52"/>
  <c r="AJ23" i="52"/>
  <c r="AJ24" i="52"/>
  <c r="AL21" i="49"/>
  <c r="AL20" i="49"/>
  <c r="AL7" i="49"/>
  <c r="AK8" i="49"/>
  <c r="AL8" i="49" s="1"/>
  <c r="AK9" i="49"/>
  <c r="AL9" i="49" s="1"/>
  <c r="AK10" i="49"/>
  <c r="AL10" i="49" s="1"/>
  <c r="AK11" i="49"/>
  <c r="AL11" i="49" s="1"/>
  <c r="AK12" i="49"/>
  <c r="AL12" i="49" s="1"/>
  <c r="AK13" i="49"/>
  <c r="AL13" i="49" s="1"/>
  <c r="AK14" i="49"/>
  <c r="AL14" i="49" s="1"/>
  <c r="AK15" i="49"/>
  <c r="AL15" i="49" s="1"/>
  <c r="AK16" i="49"/>
  <c r="AL16" i="49" s="1"/>
  <c r="AK17" i="49"/>
  <c r="AK18" i="49"/>
  <c r="AL18" i="49" s="1"/>
  <c r="AK19" i="49"/>
  <c r="AL19" i="49" s="1"/>
  <c r="AK20" i="49"/>
  <c r="AK21" i="49"/>
  <c r="AK22" i="49"/>
  <c r="AL22" i="49" s="1"/>
  <c r="AK23" i="49"/>
  <c r="AL23" i="49" s="1"/>
  <c r="AK24" i="49"/>
  <c r="AL24" i="49" s="1"/>
  <c r="AK25" i="49"/>
  <c r="AL25" i="49" s="1"/>
  <c r="AK26" i="49"/>
  <c r="AL26" i="49" s="1"/>
  <c r="AK27" i="49"/>
  <c r="AL27" i="49" s="1"/>
  <c r="AK28" i="49"/>
  <c r="AL28" i="49" s="1"/>
  <c r="AL22" i="33"/>
  <c r="AL17" i="33"/>
  <c r="AL13" i="33"/>
  <c r="AF31" i="52"/>
  <c r="AE31" i="52"/>
  <c r="AD31" i="52"/>
  <c r="AC31" i="52"/>
  <c r="AB31" i="52"/>
  <c r="AA31" i="52"/>
  <c r="Z31" i="52"/>
  <c r="Y31" i="52"/>
  <c r="X31" i="52"/>
  <c r="W31" i="52"/>
  <c r="V31" i="52"/>
  <c r="U31" i="52"/>
  <c r="T31" i="52"/>
  <c r="S31" i="52"/>
  <c r="R31" i="52"/>
  <c r="Q31" i="52"/>
  <c r="P31" i="52"/>
  <c r="O31" i="52"/>
  <c r="N31" i="52"/>
  <c r="M31" i="52"/>
  <c r="L31" i="52"/>
  <c r="K31" i="52"/>
  <c r="J31" i="52"/>
  <c r="I31" i="52"/>
  <c r="H31" i="52"/>
  <c r="G31" i="52"/>
  <c r="F31" i="52"/>
  <c r="E31" i="52"/>
  <c r="D31" i="52"/>
  <c r="C31" i="52"/>
  <c r="B31" i="52"/>
  <c r="AI30" i="52"/>
  <c r="AF29" i="52"/>
  <c r="AE29" i="52"/>
  <c r="AD29" i="52"/>
  <c r="AC29" i="52"/>
  <c r="AB29" i="52"/>
  <c r="AA29" i="52"/>
  <c r="Z29" i="52"/>
  <c r="Y29" i="52"/>
  <c r="X29" i="52"/>
  <c r="W29" i="52"/>
  <c r="V29" i="52"/>
  <c r="U29" i="52"/>
  <c r="T29" i="52"/>
  <c r="S29" i="52"/>
  <c r="R29" i="52"/>
  <c r="Q29" i="52"/>
  <c r="P29" i="52"/>
  <c r="O29" i="52"/>
  <c r="N29" i="52"/>
  <c r="M29" i="52"/>
  <c r="L29" i="52"/>
  <c r="K29" i="52"/>
  <c r="J29" i="52"/>
  <c r="I29" i="52"/>
  <c r="H29" i="52"/>
  <c r="G29" i="52"/>
  <c r="F29" i="52"/>
  <c r="E29" i="52"/>
  <c r="D29" i="52"/>
  <c r="C29" i="52"/>
  <c r="B29" i="52"/>
  <c r="AH28" i="52"/>
  <c r="AG28" i="52"/>
  <c r="AH27" i="52"/>
  <c r="AG27" i="52"/>
  <c r="AH26" i="52"/>
  <c r="AG26" i="52"/>
  <c r="AH25" i="52"/>
  <c r="AG25" i="52"/>
  <c r="AH24" i="52"/>
  <c r="AG24" i="52"/>
  <c r="AH23" i="52"/>
  <c r="AG23" i="52"/>
  <c r="AH22" i="52"/>
  <c r="AG22" i="52"/>
  <c r="AH21" i="52"/>
  <c r="AG21" i="52"/>
  <c r="AH20" i="52"/>
  <c r="AG20" i="52"/>
  <c r="AH19" i="52"/>
  <c r="AG19" i="52"/>
  <c r="AH18" i="52"/>
  <c r="AG18" i="52"/>
  <c r="AH17" i="52"/>
  <c r="AG17" i="52"/>
  <c r="AH16" i="52"/>
  <c r="AG16" i="52"/>
  <c r="AH15" i="52"/>
  <c r="AG15" i="52"/>
  <c r="AH14" i="52"/>
  <c r="AG14" i="52"/>
  <c r="AH13" i="52"/>
  <c r="AG13" i="52"/>
  <c r="AH12" i="52"/>
  <c r="AG12" i="52"/>
  <c r="AJ11" i="53"/>
  <c r="AH11" i="52"/>
  <c r="AG11" i="52"/>
  <c r="AH10" i="52"/>
  <c r="AG10" i="52"/>
  <c r="AH9" i="52"/>
  <c r="AG9" i="52"/>
  <c r="AH8" i="52"/>
  <c r="AG8" i="52"/>
  <c r="AH7" i="52"/>
  <c r="AG7" i="52"/>
  <c r="AK6" i="52"/>
  <c r="AL6" i="52" s="1"/>
  <c r="AJ6" i="53" s="1"/>
  <c r="AH6" i="52"/>
  <c r="AG6" i="52"/>
  <c r="AF31" i="51"/>
  <c r="AE31" i="51"/>
  <c r="AD31" i="51"/>
  <c r="AC31" i="51"/>
  <c r="AB31" i="51"/>
  <c r="AA31" i="51"/>
  <c r="Z31" i="51"/>
  <c r="Y31" i="51"/>
  <c r="X31" i="51"/>
  <c r="W31" i="51"/>
  <c r="V31" i="51"/>
  <c r="U31" i="51"/>
  <c r="T31" i="51"/>
  <c r="S31" i="51"/>
  <c r="R31" i="51"/>
  <c r="Q31" i="51"/>
  <c r="P31" i="51"/>
  <c r="O31" i="51"/>
  <c r="N31" i="51"/>
  <c r="M31" i="51"/>
  <c r="L31" i="51"/>
  <c r="K31" i="51"/>
  <c r="J31" i="51"/>
  <c r="I31" i="51"/>
  <c r="H31" i="51"/>
  <c r="G31" i="51"/>
  <c r="F31" i="51"/>
  <c r="E31" i="51"/>
  <c r="D31" i="51"/>
  <c r="C31" i="51"/>
  <c r="B31" i="51"/>
  <c r="AI30" i="51"/>
  <c r="D18" i="59" s="1"/>
  <c r="AF29" i="51"/>
  <c r="AE29" i="51"/>
  <c r="AD29" i="51"/>
  <c r="AC29" i="51"/>
  <c r="AB29" i="51"/>
  <c r="AA29" i="51"/>
  <c r="Z29" i="51"/>
  <c r="Y29" i="51"/>
  <c r="X29" i="51"/>
  <c r="W29" i="51"/>
  <c r="V29" i="51"/>
  <c r="U29" i="51"/>
  <c r="T29" i="51"/>
  <c r="S29" i="51"/>
  <c r="R29" i="51"/>
  <c r="Q29" i="51"/>
  <c r="P29" i="51"/>
  <c r="O29" i="51"/>
  <c r="N29" i="51"/>
  <c r="M29" i="51"/>
  <c r="L29" i="51"/>
  <c r="K29" i="51"/>
  <c r="J29" i="51"/>
  <c r="I29" i="51"/>
  <c r="H29" i="51"/>
  <c r="G29" i="51"/>
  <c r="F29" i="51"/>
  <c r="E29" i="51"/>
  <c r="D29" i="51"/>
  <c r="C29" i="51"/>
  <c r="B29" i="51"/>
  <c r="AH28" i="51"/>
  <c r="AG28" i="51"/>
  <c r="AH27" i="51"/>
  <c r="AG27" i="51"/>
  <c r="AH26" i="51"/>
  <c r="AG26" i="51"/>
  <c r="AH25" i="51"/>
  <c r="AG25" i="51"/>
  <c r="AH24" i="51"/>
  <c r="AG24" i="51"/>
  <c r="AH23" i="51"/>
  <c r="AG23" i="51"/>
  <c r="AH22" i="51"/>
  <c r="AG22" i="51"/>
  <c r="AH21" i="51"/>
  <c r="AG21" i="51"/>
  <c r="AH20" i="51"/>
  <c r="AG20" i="51"/>
  <c r="AH19" i="51"/>
  <c r="AG19" i="51"/>
  <c r="AH18" i="51"/>
  <c r="AG18" i="51"/>
  <c r="AH17" i="51"/>
  <c r="AG17" i="51"/>
  <c r="AH16" i="51"/>
  <c r="AG16" i="51"/>
  <c r="AH15" i="51"/>
  <c r="AG15" i="51"/>
  <c r="AH14" i="51"/>
  <c r="AG14" i="51"/>
  <c r="AH13" i="51"/>
  <c r="AG13" i="51"/>
  <c r="AH12" i="51"/>
  <c r="AG12" i="51"/>
  <c r="AH11" i="51"/>
  <c r="AG11" i="51"/>
  <c r="AH10" i="51"/>
  <c r="AG10" i="51"/>
  <c r="AH9" i="51"/>
  <c r="AG9" i="51"/>
  <c r="AH8" i="51"/>
  <c r="AG8" i="51"/>
  <c r="AH7" i="51"/>
  <c r="AG7" i="51"/>
  <c r="AK6" i="51"/>
  <c r="AL6" i="51" s="1"/>
  <c r="AJ6" i="52" s="1"/>
  <c r="AH6" i="51"/>
  <c r="AG6" i="51"/>
  <c r="AJ20" i="49"/>
  <c r="AF31" i="49"/>
  <c r="AE31" i="49"/>
  <c r="AD31" i="49"/>
  <c r="AC31" i="49"/>
  <c r="AB31" i="49"/>
  <c r="AA31" i="49"/>
  <c r="Z31" i="49"/>
  <c r="Y31" i="49"/>
  <c r="X31" i="49"/>
  <c r="W31" i="49"/>
  <c r="V31" i="49"/>
  <c r="U31" i="49"/>
  <c r="T31" i="49"/>
  <c r="S31" i="49"/>
  <c r="R31" i="49"/>
  <c r="Q31" i="49"/>
  <c r="P31" i="49"/>
  <c r="O31" i="49"/>
  <c r="N31" i="49"/>
  <c r="M31" i="49"/>
  <c r="L31" i="49"/>
  <c r="K31" i="49"/>
  <c r="J31" i="49"/>
  <c r="I31" i="49"/>
  <c r="H31" i="49"/>
  <c r="G31" i="49"/>
  <c r="F31" i="49"/>
  <c r="E31" i="49"/>
  <c r="D31" i="49"/>
  <c r="C31" i="49"/>
  <c r="B31" i="49"/>
  <c r="AI30" i="49"/>
  <c r="AF29" i="49"/>
  <c r="AE29" i="49"/>
  <c r="AD29" i="49"/>
  <c r="AC29" i="49"/>
  <c r="AB29" i="49"/>
  <c r="AA29" i="49"/>
  <c r="Z29" i="49"/>
  <c r="Y29" i="49"/>
  <c r="X29" i="49"/>
  <c r="W29" i="49"/>
  <c r="V29" i="49"/>
  <c r="U29" i="49"/>
  <c r="T29" i="49"/>
  <c r="S29" i="49"/>
  <c r="R29" i="49"/>
  <c r="Q29" i="49"/>
  <c r="P29" i="49"/>
  <c r="O29" i="49"/>
  <c r="N29" i="49"/>
  <c r="M29" i="49"/>
  <c r="L29" i="49"/>
  <c r="K29" i="49"/>
  <c r="J29" i="49"/>
  <c r="I29" i="49"/>
  <c r="H29" i="49"/>
  <c r="G29" i="49"/>
  <c r="F29" i="49"/>
  <c r="E29" i="49"/>
  <c r="D29" i="49"/>
  <c r="C29" i="49"/>
  <c r="B29" i="49"/>
  <c r="AH28" i="49"/>
  <c r="AG28" i="49"/>
  <c r="AH27" i="49"/>
  <c r="AG27" i="49"/>
  <c r="AH26" i="49"/>
  <c r="AG26" i="49"/>
  <c r="AH25" i="49"/>
  <c r="AG25" i="49"/>
  <c r="AH24" i="49"/>
  <c r="AG24" i="49"/>
  <c r="AH23" i="49"/>
  <c r="AG23" i="49"/>
  <c r="AH22" i="49"/>
  <c r="AG22" i="49"/>
  <c r="AH21" i="49"/>
  <c r="AG21" i="49"/>
  <c r="AH20" i="49"/>
  <c r="AG20" i="49"/>
  <c r="AH19" i="49"/>
  <c r="AG19" i="49"/>
  <c r="AH18" i="49"/>
  <c r="AG18" i="49"/>
  <c r="AH17" i="49"/>
  <c r="AG17" i="49"/>
  <c r="AH16" i="49"/>
  <c r="AG16" i="49"/>
  <c r="AH15" i="49"/>
  <c r="AG15" i="49"/>
  <c r="AH14" i="49"/>
  <c r="AG14" i="49"/>
  <c r="AH13" i="49"/>
  <c r="AG13" i="49"/>
  <c r="AH12" i="49"/>
  <c r="AG12" i="49"/>
  <c r="AH11" i="49"/>
  <c r="AG11" i="49"/>
  <c r="AH10" i="49"/>
  <c r="AG10" i="49"/>
  <c r="AH9" i="49"/>
  <c r="AG9" i="49"/>
  <c r="AH8" i="49"/>
  <c r="AG8" i="49"/>
  <c r="AH7" i="49"/>
  <c r="AG7" i="49"/>
  <c r="AK6" i="49"/>
  <c r="AL6" i="49" s="1"/>
  <c r="AJ6" i="51" s="1"/>
  <c r="AH6" i="49"/>
  <c r="AG6" i="49"/>
  <c r="AJ15" i="53" l="1"/>
  <c r="E18" i="59"/>
  <c r="G18" i="59" s="1"/>
  <c r="AL18" i="54"/>
  <c r="AJ18" i="55" s="1"/>
  <c r="AL10" i="54"/>
  <c r="AJ10" i="55" s="1"/>
  <c r="AL12" i="53"/>
  <c r="AJ12" i="54" s="1"/>
  <c r="AJ11" i="55"/>
  <c r="AH29" i="56"/>
  <c r="F17" i="59" s="1"/>
  <c r="AH31" i="56"/>
  <c r="F19" i="59" s="1"/>
  <c r="P31" i="50" s="1"/>
  <c r="AJ19" i="55"/>
  <c r="AJ15" i="55"/>
  <c r="AJ7" i="55"/>
  <c r="AH29" i="55"/>
  <c r="AH31" i="55"/>
  <c r="AJ22" i="54"/>
  <c r="AJ18" i="54"/>
  <c r="AJ10" i="54"/>
  <c r="AH29" i="54"/>
  <c r="AH31" i="54"/>
  <c r="AJ27" i="53"/>
  <c r="AL23" i="52"/>
  <c r="AJ23" i="53" s="1"/>
  <c r="AL23" i="53" s="1"/>
  <c r="AJ23" i="54" s="1"/>
  <c r="AL23" i="54" s="1"/>
  <c r="AJ23" i="55" s="1"/>
  <c r="AJ23" i="56" s="1"/>
  <c r="AL19" i="52"/>
  <c r="AJ19" i="53" s="1"/>
  <c r="AJ13" i="53"/>
  <c r="AH29" i="53"/>
  <c r="AH31" i="53"/>
  <c r="AJ26" i="52"/>
  <c r="AJ22" i="52"/>
  <c r="AL22" i="52" s="1"/>
  <c r="AJ22" i="53" s="1"/>
  <c r="AJ18" i="52"/>
  <c r="AJ14" i="52"/>
  <c r="AJ10" i="52"/>
  <c r="AH31" i="52"/>
  <c r="AL17" i="49"/>
  <c r="AH29" i="52"/>
  <c r="AH29" i="51"/>
  <c r="AH31" i="51"/>
  <c r="AH29" i="49"/>
  <c r="AH31" i="49"/>
  <c r="AL28" i="48"/>
  <c r="AL27" i="48"/>
  <c r="AL20" i="48"/>
  <c r="AL18" i="48"/>
  <c r="AL7" i="48"/>
  <c r="AL6" i="48"/>
  <c r="D19" i="59" l="1"/>
  <c r="J31" i="50" s="1"/>
  <c r="J33" i="50" s="1"/>
  <c r="D17" i="59"/>
  <c r="E19" i="59"/>
  <c r="M31" i="50" s="1"/>
  <c r="M33" i="50" s="1"/>
  <c r="E17" i="59"/>
  <c r="P33" i="50"/>
  <c r="AJ6" i="33"/>
  <c r="AJ7" i="33"/>
  <c r="AJ18" i="33"/>
  <c r="AJ27" i="33"/>
  <c r="AJ28" i="33"/>
  <c r="B29" i="33"/>
  <c r="C29" i="33"/>
  <c r="D29" i="33"/>
  <c r="E29" i="33"/>
  <c r="F29" i="33"/>
  <c r="G29" i="33"/>
  <c r="H29" i="33"/>
  <c r="I29" i="33"/>
  <c r="J29" i="33"/>
  <c r="K29" i="33"/>
  <c r="L29" i="33"/>
  <c r="M29" i="33"/>
  <c r="N29" i="33"/>
  <c r="O29" i="33"/>
  <c r="P29" i="33"/>
  <c r="Q29" i="33"/>
  <c r="R29" i="33"/>
  <c r="S29" i="33"/>
  <c r="T29" i="33"/>
  <c r="U29" i="33"/>
  <c r="V29" i="33"/>
  <c r="W29" i="33"/>
  <c r="X29" i="33"/>
  <c r="Y29" i="33"/>
  <c r="Z29" i="33"/>
  <c r="AA29" i="33"/>
  <c r="AB29" i="33"/>
  <c r="AC29" i="33"/>
  <c r="AD29" i="33"/>
  <c r="AE29" i="33"/>
  <c r="AF29" i="33"/>
  <c r="B31" i="33"/>
  <c r="C31" i="33"/>
  <c r="D31" i="33"/>
  <c r="E31" i="33"/>
  <c r="F31" i="33"/>
  <c r="G31" i="33"/>
  <c r="H31" i="33"/>
  <c r="I31" i="33"/>
  <c r="J31" i="33"/>
  <c r="K31" i="33"/>
  <c r="L31" i="33"/>
  <c r="M31" i="33"/>
  <c r="N31" i="33"/>
  <c r="O31" i="33"/>
  <c r="P31" i="33"/>
  <c r="Q31" i="33"/>
  <c r="R31" i="33"/>
  <c r="S31" i="33"/>
  <c r="T31" i="33"/>
  <c r="U31" i="33"/>
  <c r="V31" i="33"/>
  <c r="W31" i="33"/>
  <c r="X31" i="33"/>
  <c r="Y31" i="33"/>
  <c r="Z31" i="33"/>
  <c r="AA31" i="33"/>
  <c r="AB31" i="33"/>
  <c r="AC31" i="33"/>
  <c r="AD31" i="33"/>
  <c r="AE31" i="33"/>
  <c r="AF31" i="33"/>
  <c r="AI30" i="33"/>
  <c r="AK28" i="33"/>
  <c r="AL28" i="33" s="1"/>
  <c r="AJ28" i="49" s="1"/>
  <c r="AH28" i="33"/>
  <c r="AG28" i="33"/>
  <c r="AK27" i="33"/>
  <c r="AL27" i="33" s="1"/>
  <c r="AJ27" i="49" s="1"/>
  <c r="AH27" i="33"/>
  <c r="AG27" i="33"/>
  <c r="AK26" i="33"/>
  <c r="AL26" i="33" s="1"/>
  <c r="AJ26" i="49" s="1"/>
  <c r="AH26" i="33"/>
  <c r="AG26" i="33"/>
  <c r="AK25" i="33"/>
  <c r="AL25" i="33" s="1"/>
  <c r="AJ25" i="49" s="1"/>
  <c r="AH25" i="33"/>
  <c r="AG25" i="33"/>
  <c r="AK24" i="33"/>
  <c r="AL24" i="33" s="1"/>
  <c r="AJ24" i="49" s="1"/>
  <c r="AH24" i="33"/>
  <c r="AG24" i="33"/>
  <c r="AK23" i="33"/>
  <c r="AL23" i="33" s="1"/>
  <c r="AJ23" i="49" s="1"/>
  <c r="AH23" i="33"/>
  <c r="AG23" i="33"/>
  <c r="AK22" i="33"/>
  <c r="AJ22" i="49" s="1"/>
  <c r="AH22" i="33"/>
  <c r="AG22" i="33"/>
  <c r="AK21" i="33"/>
  <c r="AL21" i="33" s="1"/>
  <c r="AJ21" i="49" s="1"/>
  <c r="AH21" i="33"/>
  <c r="AG21" i="33"/>
  <c r="AK20" i="33"/>
  <c r="AL20" i="33" s="1"/>
  <c r="AH20" i="33"/>
  <c r="AG20" i="33"/>
  <c r="AK19" i="33"/>
  <c r="AL19" i="33" s="1"/>
  <c r="AJ19" i="49" s="1"/>
  <c r="AH19" i="33"/>
  <c r="AG19" i="33"/>
  <c r="AK18" i="33"/>
  <c r="AL18" i="33" s="1"/>
  <c r="AJ18" i="49" s="1"/>
  <c r="AH18" i="33"/>
  <c r="AG18" i="33"/>
  <c r="AK17" i="33"/>
  <c r="AJ17" i="49" s="1"/>
  <c r="AH17" i="33"/>
  <c r="AG17" i="33"/>
  <c r="AK16" i="33"/>
  <c r="AL16" i="33" s="1"/>
  <c r="AJ16" i="49" s="1"/>
  <c r="AH16" i="33"/>
  <c r="AG16" i="33"/>
  <c r="AK15" i="33"/>
  <c r="AL15" i="33" s="1"/>
  <c r="AJ15" i="49" s="1"/>
  <c r="AH15" i="33"/>
  <c r="AG15" i="33"/>
  <c r="AK14" i="33"/>
  <c r="AL14" i="33" s="1"/>
  <c r="AJ14" i="49" s="1"/>
  <c r="AH14" i="33"/>
  <c r="AG14" i="33"/>
  <c r="AK13" i="33"/>
  <c r="AJ13" i="49" s="1"/>
  <c r="AH13" i="33"/>
  <c r="AG13" i="33"/>
  <c r="AK12" i="33"/>
  <c r="AL12" i="33" s="1"/>
  <c r="AJ12" i="49" s="1"/>
  <c r="AH12" i="33"/>
  <c r="AG12" i="33"/>
  <c r="AK11" i="33"/>
  <c r="AL11" i="33" s="1"/>
  <c r="AJ11" i="49" s="1"/>
  <c r="AH11" i="33"/>
  <c r="AG11" i="33"/>
  <c r="AK10" i="33"/>
  <c r="AL10" i="33" s="1"/>
  <c r="AJ10" i="49" s="1"/>
  <c r="AH10" i="33"/>
  <c r="AG10" i="33"/>
  <c r="AK9" i="33"/>
  <c r="AL9" i="33" s="1"/>
  <c r="AJ9" i="49" s="1"/>
  <c r="AH9" i="33"/>
  <c r="AG9" i="33"/>
  <c r="AK8" i="33"/>
  <c r="AL8" i="33" s="1"/>
  <c r="AJ8" i="49" s="1"/>
  <c r="AH8" i="33"/>
  <c r="AG8" i="33"/>
  <c r="AK7" i="33"/>
  <c r="AL7" i="33" s="1"/>
  <c r="AJ7" i="49" s="1"/>
  <c r="AH7" i="33"/>
  <c r="AG7" i="33"/>
  <c r="AK6" i="33"/>
  <c r="AL6" i="33" s="1"/>
  <c r="AJ6" i="49" s="1"/>
  <c r="AH6" i="33"/>
  <c r="AG6" i="33"/>
  <c r="AH31" i="33" l="1"/>
  <c r="AH29" i="33"/>
  <c r="AL28" i="47"/>
  <c r="AL7" i="47"/>
  <c r="AL9" i="47"/>
  <c r="AL10" i="47"/>
  <c r="AL11" i="47"/>
  <c r="AL12" i="47"/>
  <c r="AL13" i="47"/>
  <c r="AL14" i="47"/>
  <c r="AL15" i="47"/>
  <c r="AL16" i="47"/>
  <c r="AL17" i="47"/>
  <c r="AL18" i="47"/>
  <c r="AL20" i="47"/>
  <c r="AL22" i="47"/>
  <c r="AL23" i="47"/>
  <c r="AL24" i="47"/>
  <c r="AL25" i="47"/>
  <c r="AL26" i="47"/>
  <c r="AL27" i="47"/>
  <c r="AK7" i="47"/>
  <c r="AK8" i="47"/>
  <c r="AK9" i="47"/>
  <c r="AK10" i="47"/>
  <c r="AK11" i="47"/>
  <c r="AK12" i="47"/>
  <c r="AK13" i="47"/>
  <c r="AK14" i="47"/>
  <c r="AK15" i="47"/>
  <c r="AK16" i="47"/>
  <c r="AK17" i="47"/>
  <c r="AK18" i="47"/>
  <c r="AK19" i="47"/>
  <c r="AK20" i="47"/>
  <c r="AK21" i="47"/>
  <c r="AK22" i="47"/>
  <c r="AK23" i="47"/>
  <c r="AK24" i="47"/>
  <c r="AK25" i="47"/>
  <c r="AK26" i="47"/>
  <c r="AK27" i="47"/>
  <c r="AJ6" i="47" l="1"/>
  <c r="AJ7" i="47"/>
  <c r="AJ8" i="47"/>
  <c r="AL8" i="47" s="1"/>
  <c r="AJ9" i="47"/>
  <c r="AJ10" i="47"/>
  <c r="AJ11" i="47"/>
  <c r="AJ12" i="47"/>
  <c r="AJ13" i="47"/>
  <c r="AJ14" i="47"/>
  <c r="AJ15" i="47"/>
  <c r="AJ16" i="47"/>
  <c r="AJ17" i="47"/>
  <c r="AJ18" i="47"/>
  <c r="AJ19" i="47"/>
  <c r="AL19" i="47" s="1"/>
  <c r="AJ20" i="47"/>
  <c r="AJ21" i="47"/>
  <c r="AL21" i="47" s="1"/>
  <c r="AJ22" i="47"/>
  <c r="AJ23" i="47"/>
  <c r="AJ24" i="47"/>
  <c r="AJ25" i="47"/>
  <c r="AJ26" i="47"/>
  <c r="AJ27" i="47"/>
  <c r="AJ28" i="47"/>
  <c r="AF31" i="48" l="1"/>
  <c r="AE31" i="48"/>
  <c r="AD31" i="48"/>
  <c r="AC31" i="48"/>
  <c r="AB31" i="48"/>
  <c r="AA31" i="48"/>
  <c r="Z31" i="48"/>
  <c r="Y31" i="48"/>
  <c r="X31" i="48"/>
  <c r="W31" i="48"/>
  <c r="V31" i="48"/>
  <c r="U31" i="48"/>
  <c r="T31" i="48"/>
  <c r="S31" i="48"/>
  <c r="R31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E31" i="48"/>
  <c r="D31" i="48"/>
  <c r="C31" i="48"/>
  <c r="B31" i="48"/>
  <c r="AI30" i="48"/>
  <c r="AF29" i="48"/>
  <c r="AE29" i="48"/>
  <c r="AD29" i="48"/>
  <c r="AC29" i="48"/>
  <c r="AB29" i="48"/>
  <c r="AA29" i="48"/>
  <c r="Z29" i="48"/>
  <c r="Y29" i="48"/>
  <c r="X29" i="48"/>
  <c r="W29" i="48"/>
  <c r="V29" i="48"/>
  <c r="U29" i="48"/>
  <c r="T29" i="48"/>
  <c r="S29" i="48"/>
  <c r="R29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E29" i="48"/>
  <c r="D29" i="48"/>
  <c r="C29" i="48"/>
  <c r="B29" i="48"/>
  <c r="AK28" i="48"/>
  <c r="AH28" i="48"/>
  <c r="AG28" i="48"/>
  <c r="AK27" i="48"/>
  <c r="AH27" i="48"/>
  <c r="AG27" i="48"/>
  <c r="AK26" i="48"/>
  <c r="AH26" i="48"/>
  <c r="AG26" i="48"/>
  <c r="AK25" i="48"/>
  <c r="AH25" i="48"/>
  <c r="AG25" i="48"/>
  <c r="AK24" i="48"/>
  <c r="AH24" i="48"/>
  <c r="AG24" i="48"/>
  <c r="AK23" i="48"/>
  <c r="AH23" i="48"/>
  <c r="AG23" i="48"/>
  <c r="AK22" i="48"/>
  <c r="AH22" i="48"/>
  <c r="AG22" i="48"/>
  <c r="AK21" i="48"/>
  <c r="AH21" i="48"/>
  <c r="AG21" i="48"/>
  <c r="AK20" i="48"/>
  <c r="AJ20" i="33" s="1"/>
  <c r="AH20" i="48"/>
  <c r="AG20" i="48"/>
  <c r="AK19" i="48"/>
  <c r="AL19" i="48" s="1"/>
  <c r="AJ19" i="33" s="1"/>
  <c r="AH19" i="48"/>
  <c r="AG19" i="48"/>
  <c r="AK18" i="48"/>
  <c r="AH18" i="48"/>
  <c r="AG18" i="48"/>
  <c r="AK17" i="48"/>
  <c r="AL17" i="48" s="1"/>
  <c r="AJ17" i="33" s="1"/>
  <c r="AH17" i="48"/>
  <c r="AG17" i="48"/>
  <c r="AK16" i="48"/>
  <c r="AH16" i="48"/>
  <c r="AG16" i="48"/>
  <c r="AK15" i="48"/>
  <c r="AH15" i="48"/>
  <c r="AG15" i="48"/>
  <c r="AK14" i="48"/>
  <c r="AL14" i="48" s="1"/>
  <c r="AJ14" i="33" s="1"/>
  <c r="AH14" i="48"/>
  <c r="AG14" i="48"/>
  <c r="AK13" i="48"/>
  <c r="AH13" i="48"/>
  <c r="AG13" i="48"/>
  <c r="AK12" i="48"/>
  <c r="AH12" i="48"/>
  <c r="AG12" i="48"/>
  <c r="AK11" i="48"/>
  <c r="AL11" i="48" s="1"/>
  <c r="AJ11" i="33" s="1"/>
  <c r="AH11" i="48"/>
  <c r="AG11" i="48"/>
  <c r="AK10" i="48"/>
  <c r="AH10" i="48"/>
  <c r="AG10" i="48"/>
  <c r="AK9" i="48"/>
  <c r="AH9" i="48"/>
  <c r="AG9" i="48"/>
  <c r="AK8" i="48"/>
  <c r="AL8" i="48" s="1"/>
  <c r="AJ8" i="33" s="1"/>
  <c r="AH8" i="48"/>
  <c r="AG8" i="48"/>
  <c r="AK7" i="48"/>
  <c r="AH7" i="48"/>
  <c r="AG7" i="48"/>
  <c r="AK6" i="48"/>
  <c r="AH6" i="48"/>
  <c r="AG6" i="48"/>
  <c r="AL26" i="48" l="1"/>
  <c r="AJ26" i="33" s="1"/>
  <c r="AL25" i="48"/>
  <c r="AJ25" i="33" s="1"/>
  <c r="AL24" i="48"/>
  <c r="AJ24" i="33" s="1"/>
  <c r="AL23" i="48"/>
  <c r="AJ23" i="33" s="1"/>
  <c r="AL22" i="48"/>
  <c r="AJ22" i="33" s="1"/>
  <c r="AL21" i="48"/>
  <c r="AJ21" i="33" s="1"/>
  <c r="AL16" i="48"/>
  <c r="AJ16" i="33" s="1"/>
  <c r="AL15" i="48"/>
  <c r="AJ15" i="33" s="1"/>
  <c r="AL13" i="48"/>
  <c r="AJ13" i="33" s="1"/>
  <c r="AL12" i="48"/>
  <c r="AJ12" i="33" s="1"/>
  <c r="AL10" i="48"/>
  <c r="AJ10" i="33" s="1"/>
  <c r="AL9" i="48"/>
  <c r="AJ9" i="33" s="1"/>
  <c r="AH31" i="48"/>
  <c r="C19" i="59" s="1"/>
  <c r="AH29" i="48"/>
  <c r="C17" i="59" s="1"/>
  <c r="G17" i="59" s="1"/>
  <c r="AJ7" i="48"/>
  <c r="AJ8" i="48"/>
  <c r="AJ9" i="48"/>
  <c r="AJ10" i="48"/>
  <c r="AJ11" i="48"/>
  <c r="AJ12" i="48"/>
  <c r="AJ13" i="48"/>
  <c r="AJ14" i="48"/>
  <c r="AJ15" i="48"/>
  <c r="AJ16" i="48"/>
  <c r="AJ17" i="48"/>
  <c r="AJ18" i="48"/>
  <c r="AJ19" i="48"/>
  <c r="AJ20" i="48"/>
  <c r="AJ21" i="48"/>
  <c r="AJ22" i="48"/>
  <c r="AJ23" i="48"/>
  <c r="AJ24" i="48"/>
  <c r="AJ25" i="48"/>
  <c r="AJ26" i="48"/>
  <c r="AJ27" i="48"/>
  <c r="AJ28" i="48"/>
  <c r="AF31" i="47"/>
  <c r="AE31" i="47"/>
  <c r="AD31" i="47"/>
  <c r="AC31" i="47"/>
  <c r="AB31" i="47"/>
  <c r="AA31" i="47"/>
  <c r="Z31" i="47"/>
  <c r="Y31" i="47"/>
  <c r="X31" i="47"/>
  <c r="W31" i="47"/>
  <c r="V31" i="47"/>
  <c r="U31" i="47"/>
  <c r="T31" i="47"/>
  <c r="S31" i="47"/>
  <c r="R31" i="47"/>
  <c r="Q31" i="47"/>
  <c r="P31" i="47"/>
  <c r="O31" i="47"/>
  <c r="N31" i="47"/>
  <c r="M31" i="47"/>
  <c r="L31" i="47"/>
  <c r="K31" i="47"/>
  <c r="J31" i="47"/>
  <c r="I31" i="47"/>
  <c r="H31" i="47"/>
  <c r="G31" i="47"/>
  <c r="F31" i="47"/>
  <c r="E31" i="47"/>
  <c r="D31" i="47"/>
  <c r="C31" i="47"/>
  <c r="B31" i="47"/>
  <c r="AI30" i="47"/>
  <c r="AF29" i="47"/>
  <c r="AE29" i="47"/>
  <c r="AD29" i="47"/>
  <c r="AC29" i="47"/>
  <c r="AB29" i="47"/>
  <c r="AA29" i="47"/>
  <c r="Z29" i="47"/>
  <c r="Y29" i="47"/>
  <c r="X29" i="47"/>
  <c r="W29" i="47"/>
  <c r="V29" i="47"/>
  <c r="U29" i="47"/>
  <c r="T29" i="47"/>
  <c r="S29" i="47"/>
  <c r="R29" i="47"/>
  <c r="Q29" i="47"/>
  <c r="P29" i="47"/>
  <c r="O29" i="47"/>
  <c r="N29" i="47"/>
  <c r="M29" i="47"/>
  <c r="L29" i="47"/>
  <c r="K29" i="47"/>
  <c r="J29" i="47"/>
  <c r="I29" i="47"/>
  <c r="H29" i="47"/>
  <c r="G29" i="47"/>
  <c r="F29" i="47"/>
  <c r="E29" i="47"/>
  <c r="D29" i="47"/>
  <c r="C29" i="47"/>
  <c r="B29" i="47"/>
  <c r="AH28" i="47"/>
  <c r="AG28" i="47"/>
  <c r="AH27" i="47"/>
  <c r="AG27" i="47"/>
  <c r="AH26" i="47"/>
  <c r="AG26" i="47"/>
  <c r="AH25" i="47"/>
  <c r="AG25" i="47"/>
  <c r="AH24" i="47"/>
  <c r="AG24" i="47"/>
  <c r="AH23" i="47"/>
  <c r="AG23" i="47"/>
  <c r="AH22" i="47"/>
  <c r="AG22" i="47"/>
  <c r="AH21" i="47"/>
  <c r="AG21" i="47"/>
  <c r="AH20" i="47"/>
  <c r="AG20" i="47"/>
  <c r="AH19" i="47"/>
  <c r="AG19" i="47"/>
  <c r="AH18" i="47"/>
  <c r="AG18" i="47"/>
  <c r="AH17" i="47"/>
  <c r="AG17" i="47"/>
  <c r="AH16" i="47"/>
  <c r="AG16" i="47"/>
  <c r="AH15" i="47"/>
  <c r="AG15" i="47"/>
  <c r="AH14" i="47"/>
  <c r="AG14" i="47"/>
  <c r="AH13" i="47"/>
  <c r="AG13" i="47"/>
  <c r="AH12" i="47"/>
  <c r="AG12" i="47"/>
  <c r="AH11" i="47"/>
  <c r="AG11" i="47"/>
  <c r="AH10" i="47"/>
  <c r="AG10" i="47"/>
  <c r="AH9" i="47"/>
  <c r="AG9" i="47"/>
  <c r="AH8" i="47"/>
  <c r="AG8" i="47"/>
  <c r="AH7" i="47"/>
  <c r="AG7" i="47"/>
  <c r="AK6" i="47"/>
  <c r="AL6" i="47" s="1"/>
  <c r="AJ6" i="48" s="1"/>
  <c r="AH6" i="47"/>
  <c r="AG6" i="47"/>
  <c r="G31" i="50" l="1"/>
  <c r="G19" i="59"/>
  <c r="AH29" i="47"/>
  <c r="G33" i="50" l="1"/>
  <c r="S33" i="50" s="1"/>
  <c r="S31" i="50"/>
</calcChain>
</file>

<file path=xl/sharedStrings.xml><?xml version="1.0" encoding="utf-8"?>
<sst xmlns="http://schemas.openxmlformats.org/spreadsheetml/2006/main" count="1766" uniqueCount="199">
  <si>
    <t>전동차 정기검사 및 대청소 계획</t>
  </si>
  <si>
    <t>일자</t>
  </si>
  <si>
    <t>소계</t>
  </si>
  <si>
    <t>편성 요일</t>
  </si>
  <si>
    <t>대</t>
    <phoneticPr fontId="6" type="noConversion"/>
  </si>
  <si>
    <t>7D</t>
  </si>
  <si>
    <t>4M</t>
  </si>
  <si>
    <t>시행 만료일</t>
    <phoneticPr fontId="6" type="noConversion"/>
  </si>
  <si>
    <t>이달 시행일</t>
    <phoneticPr fontId="6" type="noConversion"/>
  </si>
  <si>
    <t>다음 시행일</t>
    <phoneticPr fontId="6" type="noConversion"/>
  </si>
  <si>
    <t>7D</t>
    <phoneticPr fontId="3" type="noConversion"/>
  </si>
  <si>
    <t>4M</t>
    <phoneticPr fontId="3" type="noConversion"/>
  </si>
  <si>
    <t>대</t>
    <phoneticPr fontId="3" type="noConversion"/>
  </si>
  <si>
    <t>청</t>
    <phoneticPr fontId="3" type="noConversion"/>
  </si>
  <si>
    <t>편성</t>
    <phoneticPr fontId="3" type="noConversion"/>
  </si>
  <si>
    <t>1분기</t>
  </si>
  <si>
    <t>2분기</t>
  </si>
  <si>
    <t>3분기</t>
  </si>
  <si>
    <t>4분기</t>
  </si>
  <si>
    <t>합계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</si>
  <si>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</si>
  <si>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</si>
  <si>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</si>
  <si>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</si>
  <si>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</si>
  <si>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</si>
  <si>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</si>
  <si>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</si>
  <si>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</si>
  <si>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</si>
  <si>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</si>
  <si>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방역은 1회 22편성 *4량(칸)</t>
    <phoneticPr fontId="3" type="noConversion"/>
  </si>
  <si>
    <t>1월</t>
    <phoneticPr fontId="3" type="noConversion"/>
  </si>
  <si>
    <t>토요일</t>
    <phoneticPr fontId="3" type="noConversion"/>
  </si>
  <si>
    <t>평일</t>
    <phoneticPr fontId="3" type="noConversion"/>
  </si>
  <si>
    <t>명절</t>
    <phoneticPr fontId="3" type="noConversion"/>
  </si>
  <si>
    <t>부분청소합(편성)</t>
    <phoneticPr fontId="3" type="noConversion"/>
  </si>
  <si>
    <t>소청소합(편성)</t>
    <phoneticPr fontId="3" type="noConversion"/>
  </si>
  <si>
    <t>부분청소합(량)</t>
    <phoneticPr fontId="3" type="noConversion"/>
  </si>
  <si>
    <t>소청소합(량)</t>
    <phoneticPr fontId="3" type="noConversion"/>
  </si>
  <si>
    <t>부분청소</t>
    <phoneticPr fontId="3" type="noConversion"/>
  </si>
  <si>
    <t>일요일(공휴일같음)</t>
    <phoneticPr fontId="3" type="noConversion"/>
  </si>
  <si>
    <t>소청소</t>
    <phoneticPr fontId="3" type="noConversion"/>
  </si>
  <si>
    <t>일요일(공휴일)</t>
    <phoneticPr fontId="3" type="noConversion"/>
  </si>
  <si>
    <t>4량기준</t>
    <phoneticPr fontId="3" type="noConversion"/>
  </si>
  <si>
    <t>부분,소청소합계(량)</t>
    <phoneticPr fontId="3" type="noConversion"/>
  </si>
  <si>
    <t>대청소(량)</t>
    <phoneticPr fontId="3" type="noConversion"/>
  </si>
  <si>
    <t>방역(량)</t>
    <phoneticPr fontId="3" type="noConversion"/>
  </si>
  <si>
    <t>4M(량)</t>
    <phoneticPr fontId="3" type="noConversion"/>
  </si>
  <si>
    <t>7D(편성)</t>
    <phoneticPr fontId="3" type="noConversion"/>
  </si>
  <si>
    <t>대청소(편성)</t>
    <phoneticPr fontId="3" type="noConversion"/>
  </si>
  <si>
    <t>시작일</t>
    <phoneticPr fontId="3" type="noConversion"/>
  </si>
  <si>
    <t>종료일</t>
    <phoneticPr fontId="3" type="noConversion"/>
  </si>
  <si>
    <t>작업일</t>
    <phoneticPr fontId="3" type="noConversion"/>
  </si>
  <si>
    <t>신정</t>
  </si>
  <si>
    <t>설연휴</t>
  </si>
  <si>
    <t xml:space="preserve">설날   </t>
  </si>
  <si>
    <t>3∙1</t>
  </si>
  <si>
    <t>근로자날</t>
  </si>
  <si>
    <t>어린이날</t>
  </si>
  <si>
    <t>대체공휴일</t>
  </si>
  <si>
    <t>부처님오신날</t>
  </si>
  <si>
    <t>5∙18</t>
  </si>
  <si>
    <t>춘계체육행사</t>
  </si>
  <si>
    <t>현충일</t>
  </si>
  <si>
    <t>광복절</t>
  </si>
  <si>
    <t>추석연휴</t>
  </si>
  <si>
    <t xml:space="preserve">추석  </t>
  </si>
  <si>
    <t>개천절</t>
  </si>
  <si>
    <t>한글날</t>
  </si>
  <si>
    <t>추계체육행사</t>
  </si>
  <si>
    <t>성탄절</t>
  </si>
  <si>
    <t>113(1Y)</t>
    <phoneticPr fontId="3" type="noConversion"/>
  </si>
  <si>
    <t>104(4M)</t>
    <phoneticPr fontId="3" type="noConversion"/>
  </si>
  <si>
    <t>109(8M)</t>
    <phoneticPr fontId="3" type="noConversion"/>
  </si>
  <si>
    <t>107(1Y)</t>
    <phoneticPr fontId="3" type="noConversion"/>
  </si>
  <si>
    <t>117(8M)</t>
    <phoneticPr fontId="3" type="noConversion"/>
  </si>
  <si>
    <t>105(4M)</t>
    <phoneticPr fontId="3" type="noConversion"/>
  </si>
  <si>
    <t>102(8M)</t>
    <phoneticPr fontId="3" type="noConversion"/>
  </si>
  <si>
    <t>103(8M)</t>
    <phoneticPr fontId="3" type="noConversion"/>
  </si>
  <si>
    <t>118(8M)</t>
    <phoneticPr fontId="3" type="noConversion"/>
  </si>
  <si>
    <t>104(8M)</t>
    <phoneticPr fontId="3" type="noConversion"/>
  </si>
  <si>
    <t>111(8M)</t>
    <phoneticPr fontId="3" type="noConversion"/>
  </si>
  <si>
    <t>109(1Y)</t>
    <phoneticPr fontId="3" type="noConversion"/>
  </si>
  <si>
    <t>107(4M)</t>
    <phoneticPr fontId="3" type="noConversion"/>
  </si>
  <si>
    <t>119(8M)</t>
    <phoneticPr fontId="3" type="noConversion"/>
  </si>
  <si>
    <t>112(8M)</t>
    <phoneticPr fontId="3" type="noConversion"/>
  </si>
  <si>
    <t>105(8M)</t>
    <phoneticPr fontId="3" type="noConversion"/>
  </si>
  <si>
    <t>120(8M)</t>
    <phoneticPr fontId="3" type="noConversion"/>
  </si>
  <si>
    <t>108(4M)</t>
    <phoneticPr fontId="3" type="noConversion"/>
  </si>
  <si>
    <t>110(1Y)</t>
    <phoneticPr fontId="3" type="noConversion"/>
  </si>
  <si>
    <t>106(8M)</t>
    <phoneticPr fontId="3" type="noConversion"/>
  </si>
  <si>
    <t>113(8M)</t>
    <phoneticPr fontId="3" type="noConversion"/>
  </si>
  <si>
    <t>121(8M)</t>
    <phoneticPr fontId="3" type="noConversion"/>
  </si>
  <si>
    <t>111(1Y)</t>
    <phoneticPr fontId="3" type="noConversion"/>
  </si>
  <si>
    <t>109(4M)</t>
    <phoneticPr fontId="3" type="noConversion"/>
  </si>
  <si>
    <t>107(8M)</t>
    <phoneticPr fontId="3" type="noConversion"/>
  </si>
  <si>
    <t>122(8M)</t>
    <phoneticPr fontId="3" type="noConversion"/>
  </si>
  <si>
    <t>112(1Y)</t>
    <phoneticPr fontId="3" type="noConversion"/>
  </si>
  <si>
    <t>114(8M)</t>
    <phoneticPr fontId="3" type="noConversion"/>
  </si>
  <si>
    <t>120(1Y)</t>
    <phoneticPr fontId="3" type="noConversion"/>
  </si>
  <si>
    <t>123(8M)</t>
    <phoneticPr fontId="3" type="noConversion"/>
  </si>
  <si>
    <t>방역(22편성*4량*횟수)</t>
    <phoneticPr fontId="3" type="noConversion"/>
  </si>
  <si>
    <t>일수</t>
    <phoneticPr fontId="3" type="noConversion"/>
  </si>
  <si>
    <t>보통 명절다이아는 3일임.</t>
    <phoneticPr fontId="3" type="noConversion"/>
  </si>
  <si>
    <t>1분기</t>
    <phoneticPr fontId="3" type="noConversion"/>
  </si>
  <si>
    <t>2분기</t>
    <phoneticPr fontId="3" type="noConversion"/>
  </si>
  <si>
    <t>3분기</t>
    <phoneticPr fontId="3" type="noConversion"/>
  </si>
  <si>
    <t>4분기</t>
    <phoneticPr fontId="3" type="noConversion"/>
  </si>
  <si>
    <t>청소및소독실적합계(량)</t>
    <phoneticPr fontId="3" type="noConversion"/>
  </si>
  <si>
    <t>월2회</t>
    <phoneticPr fontId="3" type="noConversion"/>
  </si>
  <si>
    <t>합계</t>
    <phoneticPr fontId="3" type="noConversion"/>
  </si>
  <si>
    <t>106(4M)</t>
    <phoneticPr fontId="3" type="noConversion"/>
  </si>
  <si>
    <t>108(1Y)</t>
    <phoneticPr fontId="3" type="noConversion"/>
  </si>
  <si>
    <t>110(8M)</t>
    <phoneticPr fontId="3" type="noConversion"/>
  </si>
  <si>
    <t>118(4M)</t>
    <phoneticPr fontId="3" type="noConversion"/>
  </si>
  <si>
    <t>108(8M)</t>
    <phoneticPr fontId="3" type="noConversion"/>
  </si>
  <si>
    <t>121(1Y)</t>
    <phoneticPr fontId="3" type="noConversion"/>
  </si>
  <si>
    <t>101(8M)</t>
    <phoneticPr fontId="3" type="noConversion"/>
  </si>
  <si>
    <t>119(4M)</t>
    <phoneticPr fontId="3" type="noConversion"/>
  </si>
  <si>
    <t>122(1Y)</t>
    <phoneticPr fontId="3" type="noConversion"/>
  </si>
  <si>
    <t>120(4M)</t>
    <phoneticPr fontId="3" type="noConversion"/>
  </si>
  <si>
    <t>123(1Y)</t>
    <phoneticPr fontId="3" type="noConversion"/>
  </si>
  <si>
    <t>121(4M)</t>
    <phoneticPr fontId="3" type="noConversion"/>
  </si>
  <si>
    <t>122(4M)</t>
    <phoneticPr fontId="3" type="noConversion"/>
  </si>
  <si>
    <t>102(1Y)</t>
    <phoneticPr fontId="3" type="noConversion"/>
  </si>
  <si>
    <t>123(4M)</t>
    <phoneticPr fontId="3" type="noConversion"/>
  </si>
  <si>
    <t>103(1Y)</t>
    <phoneticPr fontId="3" type="noConversion"/>
  </si>
  <si>
    <t>101(1Y)</t>
    <phoneticPr fontId="3" type="noConversion"/>
  </si>
  <si>
    <t>104(1Y)</t>
    <phoneticPr fontId="3" type="noConversion"/>
  </si>
  <si>
    <t>105(1Y)</t>
    <phoneticPr fontId="3" type="noConversion"/>
  </si>
  <si>
    <t>2024년도</t>
    <phoneticPr fontId="3" type="noConversion"/>
  </si>
  <si>
    <t>2025년도</t>
    <phoneticPr fontId="3" type="noConversion"/>
  </si>
  <si>
    <t xml:space="preserve">부분청소, 소청소, 방역 등 엑셀과 mis실적 물량이 상당한 차이가 있을 경우 mis 월별 실적과 엑셀 비교, 해당 월, 일 실적 점검하자. </t>
    <phoneticPr fontId="3" type="noConversion"/>
  </si>
  <si>
    <t>실적 미등록 시 해당일자 조회 시 오류 발생함.</t>
  </si>
  <si>
    <t>일요일(공휴일포함)</t>
    <phoneticPr fontId="3" type="noConversion"/>
  </si>
  <si>
    <t>101(4M)</t>
    <phoneticPr fontId="3" type="noConversion"/>
  </si>
  <si>
    <t>월1회</t>
    <phoneticPr fontId="3" type="noConversion"/>
  </si>
  <si>
    <t>추가</t>
    <phoneticPr fontId="6" type="noConversion"/>
  </si>
  <si>
    <t>2026년도 휴일</t>
    <phoneticPr fontId="3" type="noConversion"/>
  </si>
  <si>
    <t>2026년도 중정비 일정</t>
    <phoneticPr fontId="3" type="noConversion"/>
  </si>
  <si>
    <t>부처님대체공휴일</t>
  </si>
  <si>
    <t xml:space="preserve">[2026.1.]                                                                                                                             [차량운영처 차량팀]  </t>
    <phoneticPr fontId="6" type="noConversion"/>
  </si>
  <si>
    <t>지방선거</t>
    <phoneticPr fontId="6" type="noConversion"/>
  </si>
  <si>
    <t>2/2, 대청소, 118편성</t>
    <phoneticPr fontId="3" type="noConversion"/>
  </si>
  <si>
    <t>114편성(6Y,~2.4.)</t>
    <phoneticPr fontId="3" type="noConversion"/>
  </si>
  <si>
    <t>114편성(6Y, 12.19.~2.4.)</t>
    <phoneticPr fontId="3" type="noConversion"/>
  </si>
  <si>
    <t>103(4M)</t>
    <phoneticPr fontId="3" type="noConversion"/>
  </si>
  <si>
    <t>106(1Y)</t>
    <phoneticPr fontId="3" type="noConversion"/>
  </si>
  <si>
    <t>112(3Y-4M)</t>
    <phoneticPr fontId="3" type="noConversion"/>
  </si>
  <si>
    <t>115편성(6Y, 2.9.~3.30.)</t>
    <phoneticPr fontId="3" type="noConversion"/>
  </si>
  <si>
    <t xml:space="preserve">[2026.2.]                                                                                                               [차량운영처 차량팀]  </t>
    <phoneticPr fontId="6" type="noConversion"/>
  </si>
  <si>
    <t>111(3Y-4M)</t>
    <phoneticPr fontId="3" type="noConversion"/>
  </si>
  <si>
    <t xml:space="preserve">[2026.3.]                                                                                                               [차량운영처 차량팀]  </t>
    <phoneticPr fontId="6" type="noConversion"/>
  </si>
  <si>
    <t>119편성, 4/1, 대청소해야</t>
    <phoneticPr fontId="3" type="noConversion"/>
  </si>
  <si>
    <t xml:space="preserve">[2026.4.]                                                                                                               [차량운영처 차량팀]  </t>
    <phoneticPr fontId="6" type="noConversion"/>
  </si>
  <si>
    <t>116편성(6Y, 4.2.~5.20.)</t>
    <phoneticPr fontId="3" type="noConversion"/>
  </si>
  <si>
    <t>113(3Y-4M)</t>
    <phoneticPr fontId="3" type="noConversion"/>
  </si>
  <si>
    <t>105편성, 5/6, 대청소</t>
    <phoneticPr fontId="3" type="noConversion"/>
  </si>
  <si>
    <t xml:space="preserve">[2026.5.]                                                                                                               [차량운영처 차량팀]  </t>
    <phoneticPr fontId="6" type="noConversion"/>
  </si>
  <si>
    <t xml:space="preserve">[2026.6.]                                                                                                               [차량운영처 차량팀]  </t>
    <phoneticPr fontId="6" type="noConversion"/>
  </si>
  <si>
    <t>3/27, 대청소정비일</t>
    <phoneticPr fontId="3" type="noConversion"/>
  </si>
  <si>
    <t>117편성(6Y, 5.26.~7.10.)</t>
    <phoneticPr fontId="3" type="noConversion"/>
  </si>
  <si>
    <t>114편성, 6/2, 대청소해야</t>
    <phoneticPr fontId="3" type="noConversion"/>
  </si>
  <si>
    <t>114(6Y-4M)</t>
    <phoneticPr fontId="3" type="noConversion"/>
  </si>
  <si>
    <t>6/19,월상장비점검일</t>
    <phoneticPr fontId="3" type="noConversion"/>
  </si>
  <si>
    <t xml:space="preserve">[2026.7.]                                                                                                               [차량운영처 차량팀]  </t>
    <phoneticPr fontId="6" type="noConversion"/>
  </si>
  <si>
    <t>휴일없음</t>
    <phoneticPr fontId="3" type="noConversion"/>
  </si>
  <si>
    <t xml:space="preserve">[2026.8.]                                                                                                               [차량운영처 차량팀]  </t>
    <phoneticPr fontId="6" type="noConversion"/>
  </si>
  <si>
    <t>115(6Y-4M)</t>
    <phoneticPr fontId="3" type="noConversion"/>
  </si>
  <si>
    <t xml:space="preserve">[2026.9.]                                                                                                               [차량운영처 차량팀]  </t>
    <phoneticPr fontId="6" type="noConversion"/>
  </si>
  <si>
    <t>116(6Y-4M)</t>
    <phoneticPr fontId="3" type="noConversion"/>
  </si>
  <si>
    <t xml:space="preserve">[2026.10.]                                                                                                               [차량운영처 차량팀]  </t>
    <phoneticPr fontId="6" type="noConversion"/>
  </si>
  <si>
    <t>106편성, 11/2, 대청소해야</t>
    <phoneticPr fontId="3" type="noConversion"/>
  </si>
  <si>
    <t xml:space="preserve">[2026.11.]                                                                                                               [차량운영처 차량팀]  </t>
    <phoneticPr fontId="6" type="noConversion"/>
  </si>
  <si>
    <t>117(6Y-4M)</t>
    <phoneticPr fontId="3" type="noConversion"/>
  </si>
  <si>
    <t>11/30, 월상장비점검일</t>
    <phoneticPr fontId="3" type="noConversion"/>
  </si>
  <si>
    <t xml:space="preserve">[2026.12.]                                                                                                               [차량운영처 차량팀]  </t>
    <phoneticPr fontId="6" type="noConversion"/>
  </si>
  <si>
    <t>115(8M)</t>
    <phoneticPr fontId="3" type="noConversion"/>
  </si>
  <si>
    <t>110(4M)</t>
    <phoneticPr fontId="3" type="noConversion"/>
  </si>
  <si>
    <t>2026.12월 계획은 2027.1월 중정비, 월상 및 대청소 일정에 의해 변동될 수 있음.</t>
    <phoneticPr fontId="3" type="noConversion"/>
  </si>
  <si>
    <t>2026년도</t>
    <phoneticPr fontId="3" type="noConversion"/>
  </si>
  <si>
    <t>주말(토요일)</t>
    <phoneticPr fontId="3" type="noConversion"/>
  </si>
  <si>
    <t>11/16,대청소정비일</t>
    <phoneticPr fontId="3" type="noConversion"/>
  </si>
  <si>
    <t>대청소정비일</t>
    <phoneticPr fontId="3" type="noConversion"/>
  </si>
  <si>
    <t>월상장비점검일</t>
    <phoneticPr fontId="3" type="noConversion"/>
  </si>
  <si>
    <t>2026년 방역은 총 18회라고 함.(수경, 25.12.8.)</t>
    <phoneticPr fontId="3" type="noConversion"/>
  </si>
  <si>
    <t>2.27.월상장비점검일</t>
    <phoneticPr fontId="3" type="noConversion"/>
  </si>
  <si>
    <t>제헌절</t>
    <phoneticPr fontId="3" type="noConversion"/>
  </si>
  <si>
    <t>추가</t>
    <phoneticPr fontId="3" type="noConversion"/>
  </si>
  <si>
    <t>118편성(6Y, 7.15.~8.31.)</t>
    <phoneticPr fontId="3" type="noConversion"/>
  </si>
  <si>
    <r>
      <rPr>
        <b/>
        <u/>
        <sz val="16"/>
        <color theme="1"/>
        <rFont val="맑은 고딕"/>
        <family val="3"/>
        <charset val="129"/>
        <scheme val="minor"/>
      </rPr>
      <t>3, 11</t>
    </r>
    <r>
      <rPr>
        <sz val="11"/>
        <color theme="1"/>
        <rFont val="맑은 고딕"/>
        <family val="2"/>
        <charset val="129"/>
        <scheme val="minor"/>
      </rPr>
      <t>월</t>
    </r>
    <phoneticPr fontId="3" type="noConversion"/>
  </si>
  <si>
    <t xml:space="preserve">2, 6, 11월 </t>
    <phoneticPr fontId="3" type="noConversion"/>
  </si>
  <si>
    <t>119편성(6Y, 9.3.~10.23.)</t>
    <phoneticPr fontId="3" type="noConversion"/>
  </si>
  <si>
    <t>120편성(6Y,10.28.~12.10.)</t>
    <phoneticPr fontId="3" type="noConversion"/>
  </si>
  <si>
    <t>120편성(6Y,10.28.~)</t>
    <phoneticPr fontId="3" type="noConversion"/>
  </si>
  <si>
    <t>121편성(6Y,12.15.~27.1.29.)</t>
    <phoneticPr fontId="3" type="noConversion"/>
  </si>
  <si>
    <t>117편성(6Y,5.27.~7.10.)</t>
    <phoneticPr fontId="3" type="noConversion"/>
  </si>
  <si>
    <t>5/18일이 평일이면 평일다이아임.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</si>
</sst>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d"/>
    <numFmt numFmtId="177" formatCode="aaa"/>
    <numFmt numFmtId="178" formatCode="0_);\(0\)"/>
    <numFmt numFmtId="179" formatCode="General&quot;편성&quot;"/>
    <numFmt numFmtId="180" formatCode="General&quot;일&quot;"/>
    <numFmt numFmtId="181" formatCode="aaaa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u/>
      <sz val="16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u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8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b/>
      <sz val="8"/>
      <color rgb="FF000000"/>
      <name val="돋움"/>
      <family val="3"/>
      <charset val="129"/>
    </font>
    <font>
      <b/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12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9"/>
      <color rgb="FF000000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6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5.5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b/>
      <sz val="7"/>
      <color rgb="FF000000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CBB53"/>
        <bgColor indexed="64"/>
      </patternFill>
    </fill>
    <fill>
      <patternFill patternType="solid">
        <fgColor theme="4" tint="0.39997558519241921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 diagonalDown="1">
      <left style="thin">
        <color rgb="FF000000"/>
      </left>
      <right/>
      <top style="thin">
        <color rgb="FF000000"/>
      </top>
      <bottom/>
      <diagonal style="thin">
        <color indexed="64"/>
      </diagonal>
    </border>
    <border diagonalDown="1">
      <left style="thin">
        <color rgb="FF000000"/>
      </left>
      <right/>
      <top/>
      <bottom/>
      <diagonal style="thin">
        <color indexed="64"/>
      </diagonal>
    </border>
    <border>
      <left style="thin">
        <color rgb="FF000000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</cellStyleXfs>
  <cellXfs count="351">
    <xf numFmtId="0" fontId="0" fillId="0" borderId="0" xfId="0">
      <alignment vertical="center"/>
    </xf>
    <xf numFmtId="0" fontId="1" fillId="0" borderId="0" xfId="1" applyNumberFormat="1">
      <alignment vertical="center"/>
    </xf>
    <xf numFmtId="0" fontId="7" fillId="2" borderId="0" xfId="1" applyNumberFormat="1" applyFont="1" applyFill="1" applyBorder="1" applyAlignment="1">
      <alignment horizontal="center" vertical="center"/>
    </xf>
    <xf numFmtId="0" fontId="7" fillId="2" borderId="7" xfId="1" applyNumberFormat="1" applyFont="1" applyFill="1" applyBorder="1" applyAlignment="1">
      <alignment horizontal="center" vertical="center"/>
    </xf>
    <xf numFmtId="0" fontId="7" fillId="2" borderId="8" xfId="1" applyNumberFormat="1" applyFont="1" applyFill="1" applyBorder="1" applyAlignment="1">
      <alignment horizontal="center" vertical="center"/>
    </xf>
    <xf numFmtId="0" fontId="7" fillId="2" borderId="9" xfId="1" applyNumberFormat="1" applyFont="1" applyFill="1" applyBorder="1" applyAlignment="1">
      <alignment horizontal="center" vertical="center"/>
    </xf>
    <xf numFmtId="0" fontId="8" fillId="3" borderId="10" xfId="1" applyNumberFormat="1" applyFont="1" applyFill="1" applyBorder="1" applyAlignment="1">
      <alignment horizontal="center" vertical="center"/>
    </xf>
    <xf numFmtId="0" fontId="7" fillId="0" borderId="11" xfId="1" applyNumberFormat="1" applyFont="1" applyFill="1" applyBorder="1" applyAlignment="1">
      <alignment horizontal="center" vertical="center"/>
    </xf>
    <xf numFmtId="14" fontId="9" fillId="0" borderId="10" xfId="1" applyNumberFormat="1" applyFont="1" applyFill="1" applyBorder="1" applyAlignment="1">
      <alignment horizontal="center" vertical="center"/>
    </xf>
    <xf numFmtId="178" fontId="7" fillId="2" borderId="10" xfId="1" applyNumberFormat="1" applyFont="1" applyFill="1" applyBorder="1" applyAlignment="1">
      <alignment horizontal="center" vertical="center"/>
    </xf>
    <xf numFmtId="0" fontId="7" fillId="2" borderId="12" xfId="1" applyNumberFormat="1" applyFont="1" applyFill="1" applyBorder="1" applyAlignment="1">
      <alignment horizontal="center" vertical="center"/>
    </xf>
    <xf numFmtId="0" fontId="7" fillId="2" borderId="4" xfId="1" applyNumberFormat="1" applyFont="1" applyFill="1" applyBorder="1" applyAlignment="1">
      <alignment horizontal="center" vertical="center"/>
    </xf>
    <xf numFmtId="14" fontId="9" fillId="4" borderId="10" xfId="1" applyNumberFormat="1" applyFont="1" applyFill="1" applyBorder="1" applyAlignment="1">
      <alignment horizontal="center" vertical="center"/>
    </xf>
    <xf numFmtId="178" fontId="7" fillId="2" borderId="10" xfId="1" applyNumberFormat="1" applyFont="1" applyFill="1" applyBorder="1" applyAlignment="1">
      <alignment horizontal="center" vertical="center" shrinkToFit="1"/>
    </xf>
    <xf numFmtId="14" fontId="1" fillId="0" borderId="0" xfId="1" applyNumberFormat="1" applyAlignment="1">
      <alignment horizontal="center" vertical="center"/>
    </xf>
    <xf numFmtId="0" fontId="0" fillId="0" borderId="10" xfId="0" applyBorder="1">
      <alignment vertical="center"/>
    </xf>
    <xf numFmtId="0" fontId="7" fillId="2" borderId="14" xfId="1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7" fillId="0" borderId="4" xfId="1" applyNumberFormat="1" applyFont="1" applyFill="1" applyBorder="1" applyAlignment="1">
      <alignment horizontal="center" vertical="center"/>
    </xf>
    <xf numFmtId="0" fontId="7" fillId="2" borderId="15" xfId="1" applyNumberFormat="1" applyFont="1" applyFill="1" applyBorder="1" applyAlignment="1">
      <alignment horizontal="center" vertical="center"/>
    </xf>
    <xf numFmtId="0" fontId="0" fillId="0" borderId="23" xfId="0" applyBorder="1">
      <alignment vertical="center"/>
    </xf>
    <xf numFmtId="0" fontId="13" fillId="0" borderId="0" xfId="0" applyFont="1">
      <alignment vertical="center"/>
    </xf>
    <xf numFmtId="0" fontId="13" fillId="0" borderId="10" xfId="0" applyFont="1" applyBorder="1">
      <alignment vertical="center"/>
    </xf>
    <xf numFmtId="0" fontId="14" fillId="0" borderId="10" xfId="0" applyFont="1" applyBorder="1">
      <alignment vertical="center"/>
    </xf>
    <xf numFmtId="0" fontId="14" fillId="0" borderId="10" xfId="0" applyFont="1" applyBorder="1" applyAlignment="1">
      <alignment horizontal="center" vertical="center"/>
    </xf>
    <xf numFmtId="0" fontId="13" fillId="0" borderId="29" xfId="0" applyFont="1" applyBorder="1">
      <alignment vertical="center"/>
    </xf>
    <xf numFmtId="0" fontId="15" fillId="3" borderId="10" xfId="0" applyFont="1" applyFill="1" applyBorder="1">
      <alignment vertical="center"/>
    </xf>
    <xf numFmtId="0" fontId="15" fillId="5" borderId="10" xfId="0" applyFont="1" applyFill="1" applyBorder="1">
      <alignment vertical="center"/>
    </xf>
    <xf numFmtId="0" fontId="15" fillId="6" borderId="10" xfId="0" applyFont="1" applyFill="1" applyBorder="1">
      <alignment vertical="center"/>
    </xf>
    <xf numFmtId="0" fontId="15" fillId="4" borderId="10" xfId="0" applyFont="1" applyFill="1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7" fillId="0" borderId="10" xfId="1" applyNumberFormat="1" applyFont="1" applyFill="1" applyBorder="1" applyAlignment="1">
      <alignment vertical="center"/>
    </xf>
    <xf numFmtId="0" fontId="7" fillId="0" borderId="11" xfId="1" applyNumberFormat="1" applyFont="1" applyFill="1" applyBorder="1" applyAlignment="1">
      <alignment vertical="center"/>
    </xf>
    <xf numFmtId="0" fontId="0" fillId="7" borderId="10" xfId="0" applyFill="1" applyBorder="1" applyAlignment="1">
      <alignment horizontal="center" vertical="center"/>
    </xf>
    <xf numFmtId="14" fontId="0" fillId="0" borderId="10" xfId="0" applyNumberFormat="1" applyBorder="1">
      <alignment vertical="center"/>
    </xf>
    <xf numFmtId="179" fontId="0" fillId="0" borderId="10" xfId="0" applyNumberFormat="1" applyBorder="1" applyAlignment="1">
      <alignment horizontal="center" vertical="center"/>
    </xf>
    <xf numFmtId="180" fontId="0" fillId="0" borderId="10" xfId="0" applyNumberFormat="1" applyBorder="1" applyAlignment="1">
      <alignment horizontal="center" vertical="center"/>
    </xf>
    <xf numFmtId="14" fontId="0" fillId="0" borderId="0" xfId="0" applyNumberFormat="1" applyBorder="1" applyAlignment="1">
      <alignment vertical="center"/>
    </xf>
    <xf numFmtId="0" fontId="7" fillId="0" borderId="4" xfId="1" applyNumberFormat="1" applyFont="1" applyFill="1" applyBorder="1" applyAlignment="1">
      <alignment vertical="center"/>
    </xf>
    <xf numFmtId="177" fontId="7" fillId="0" borderId="9" xfId="1" applyNumberFormat="1" applyFont="1" applyFill="1" applyBorder="1" applyAlignment="1">
      <alignment horizontal="center" vertical="center"/>
    </xf>
    <xf numFmtId="178" fontId="7" fillId="0" borderId="10" xfId="1" applyNumberFormat="1" applyFont="1" applyFill="1" applyBorder="1" applyAlignment="1">
      <alignment horizontal="center" vertical="center"/>
    </xf>
    <xf numFmtId="0" fontId="7" fillId="0" borderId="14" xfId="1" applyNumberFormat="1" applyFont="1" applyFill="1" applyBorder="1" applyAlignment="1">
      <alignment horizontal="center" vertical="center"/>
    </xf>
    <xf numFmtId="177" fontId="7" fillId="0" borderId="34" xfId="1" applyNumberFormat="1" applyFont="1" applyFill="1" applyBorder="1" applyAlignment="1">
      <alignment horizontal="center" vertical="center"/>
    </xf>
    <xf numFmtId="0" fontId="7" fillId="8" borderId="10" xfId="1" applyNumberFormat="1" applyFont="1" applyFill="1" applyBorder="1" applyAlignment="1">
      <alignment horizontal="center" vertical="center"/>
    </xf>
    <xf numFmtId="0" fontId="7" fillId="8" borderId="10" xfId="1" applyNumberFormat="1" applyFont="1" applyFill="1" applyBorder="1" applyAlignment="1">
      <alignment vertical="center"/>
    </xf>
    <xf numFmtId="14" fontId="0" fillId="8" borderId="10" xfId="0" applyNumberFormat="1" applyFill="1" applyBorder="1">
      <alignment vertical="center"/>
    </xf>
    <xf numFmtId="181" fontId="0" fillId="8" borderId="10" xfId="0" applyNumberFormat="1" applyFill="1" applyBorder="1" applyAlignment="1">
      <alignment horizontal="center" vertical="center"/>
    </xf>
    <xf numFmtId="0" fontId="7" fillId="4" borderId="10" xfId="1" applyNumberFormat="1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17" fillId="0" borderId="10" xfId="0" applyFont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2" borderId="37" xfId="1" applyNumberFormat="1" applyFont="1" applyFill="1" applyBorder="1" applyAlignment="1">
      <alignment horizontal="left" vertical="center"/>
    </xf>
    <xf numFmtId="177" fontId="7" fillId="0" borderId="38" xfId="1" applyNumberFormat="1" applyFont="1" applyFill="1" applyBorder="1" applyAlignment="1">
      <alignment horizontal="center" vertical="center"/>
    </xf>
    <xf numFmtId="177" fontId="7" fillId="0" borderId="39" xfId="1" applyNumberFormat="1" applyFont="1" applyFill="1" applyBorder="1" applyAlignment="1">
      <alignment horizontal="center" vertical="center"/>
    </xf>
    <xf numFmtId="0" fontId="7" fillId="0" borderId="40" xfId="1" applyNumberFormat="1" applyFont="1" applyFill="1" applyBorder="1" applyAlignment="1">
      <alignment horizontal="center" vertical="center"/>
    </xf>
    <xf numFmtId="0" fontId="7" fillId="0" borderId="41" xfId="1" applyNumberFormat="1" applyFont="1" applyFill="1" applyBorder="1" applyAlignment="1">
      <alignment horizontal="center" vertical="center"/>
    </xf>
    <xf numFmtId="0" fontId="7" fillId="0" borderId="42" xfId="1" applyNumberFormat="1" applyFont="1" applyFill="1" applyBorder="1" applyAlignment="1">
      <alignment horizontal="center" vertical="center"/>
    </xf>
    <xf numFmtId="0" fontId="7" fillId="0" borderId="43" xfId="1" applyNumberFormat="1" applyFont="1" applyFill="1" applyBorder="1" applyAlignment="1">
      <alignment horizontal="center" vertical="center"/>
    </xf>
    <xf numFmtId="0" fontId="7" fillId="0" borderId="47" xfId="1" applyNumberFormat="1" applyFont="1" applyFill="1" applyBorder="1" applyAlignment="1">
      <alignment horizontal="center" vertical="center"/>
    </xf>
    <xf numFmtId="0" fontId="10" fillId="0" borderId="10" xfId="1" applyNumberFormat="1" applyFont="1" applyFill="1" applyBorder="1" applyAlignment="1">
      <alignment vertical="center"/>
    </xf>
    <xf numFmtId="0" fontId="7" fillId="2" borderId="42" xfId="1" applyNumberFormat="1" applyFont="1" applyFill="1" applyBorder="1" applyAlignment="1">
      <alignment horizontal="center" vertical="center"/>
    </xf>
    <xf numFmtId="0" fontId="7" fillId="2" borderId="43" xfId="1" applyNumberFormat="1" applyFont="1" applyFill="1" applyBorder="1" applyAlignment="1">
      <alignment horizontal="center" vertical="center"/>
    </xf>
    <xf numFmtId="0" fontId="7" fillId="2" borderId="46" xfId="1" applyNumberFormat="1" applyFont="1" applyFill="1" applyBorder="1" applyAlignment="1">
      <alignment horizontal="center" vertical="center"/>
    </xf>
    <xf numFmtId="0" fontId="7" fillId="2" borderId="47" xfId="1" applyNumberFormat="1" applyFont="1" applyFill="1" applyBorder="1" applyAlignment="1">
      <alignment horizontal="center" vertical="center"/>
    </xf>
    <xf numFmtId="0" fontId="7" fillId="2" borderId="48" xfId="1" applyNumberFormat="1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8" fillId="0" borderId="0" xfId="0" applyFont="1" applyFill="1">
      <alignment vertical="center"/>
    </xf>
    <xf numFmtId="0" fontId="19" fillId="0" borderId="0" xfId="0" applyFont="1" applyFill="1">
      <alignment vertical="center"/>
    </xf>
    <xf numFmtId="0" fontId="21" fillId="0" borderId="0" xfId="0" applyFont="1">
      <alignment vertical="center"/>
    </xf>
    <xf numFmtId="14" fontId="19" fillId="0" borderId="0" xfId="0" applyNumberFormat="1" applyFont="1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0" fontId="20" fillId="0" borderId="0" xfId="0" applyFont="1" applyFill="1">
      <alignment vertical="center"/>
    </xf>
    <xf numFmtId="0" fontId="23" fillId="0" borderId="10" xfId="0" applyFont="1" applyBorder="1" applyAlignment="1">
      <alignment horizontal="center" vertical="center"/>
    </xf>
    <xf numFmtId="0" fontId="13" fillId="8" borderId="0" xfId="0" applyFont="1" applyFill="1">
      <alignment vertical="center"/>
    </xf>
    <xf numFmtId="0" fontId="0" fillId="4" borderId="10" xfId="0" applyFill="1" applyBorder="1">
      <alignment vertical="center"/>
    </xf>
    <xf numFmtId="0" fontId="1" fillId="8" borderId="10" xfId="0" applyFont="1" applyFill="1" applyBorder="1">
      <alignment vertical="center"/>
    </xf>
    <xf numFmtId="0" fontId="4" fillId="2" borderId="0" xfId="1" applyNumberFormat="1" applyFont="1" applyFill="1" applyBorder="1" applyAlignment="1">
      <alignment horizontal="center" vertical="center"/>
    </xf>
    <xf numFmtId="0" fontId="5" fillId="2" borderId="0" xfId="1" applyNumberFormat="1" applyFont="1" applyFill="1" applyBorder="1" applyAlignment="1">
      <alignment horizontal="center" vertical="center" wrapText="1"/>
    </xf>
    <xf numFmtId="0" fontId="7" fillId="2" borderId="1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7" fillId="0" borderId="10" xfId="1" applyNumberFormat="1" applyFont="1" applyFill="1" applyBorder="1" applyAlignment="1">
      <alignment horizontal="center" vertical="center"/>
    </xf>
    <xf numFmtId="0" fontId="7" fillId="2" borderId="10" xfId="1" applyNumberFormat="1" applyFont="1" applyFill="1" applyBorder="1" applyAlignment="1">
      <alignment horizontal="center" vertical="center"/>
    </xf>
    <xf numFmtId="0" fontId="7" fillId="2" borderId="6" xfId="1" applyNumberFormat="1" applyFont="1" applyFill="1" applyBorder="1" applyAlignment="1">
      <alignment horizontal="center" vertical="center"/>
    </xf>
    <xf numFmtId="0" fontId="4" fillId="2" borderId="0" xfId="1" applyNumberFormat="1" applyFont="1" applyFill="1" applyBorder="1" applyAlignment="1">
      <alignment horizontal="center" vertical="center"/>
    </xf>
    <xf numFmtId="0" fontId="5" fillId="2" borderId="0" xfId="1" applyNumberFormat="1" applyFont="1" applyFill="1" applyBorder="1" applyAlignment="1">
      <alignment horizontal="center" vertical="center" wrapText="1"/>
    </xf>
    <xf numFmtId="0" fontId="7" fillId="4" borderId="14" xfId="1" applyNumberFormat="1" applyFont="1" applyFill="1" applyBorder="1" applyAlignment="1">
      <alignment horizontal="center" vertical="center"/>
    </xf>
    <xf numFmtId="0" fontId="7" fillId="0" borderId="10" xfId="1" applyNumberFormat="1" applyFont="1" applyFill="1" applyBorder="1" applyAlignment="1">
      <alignment horizontal="center" vertical="center"/>
    </xf>
    <xf numFmtId="181" fontId="0" fillId="9" borderId="10" xfId="0" applyNumberFormat="1" applyFill="1" applyBorder="1" applyAlignment="1">
      <alignment horizontal="center" vertical="center"/>
    </xf>
    <xf numFmtId="14" fontId="22" fillId="0" borderId="0" xfId="0" applyNumberFormat="1" applyFont="1" applyFill="1" applyBorder="1" applyAlignment="1">
      <alignment vertical="center"/>
    </xf>
    <xf numFmtId="14" fontId="20" fillId="0" borderId="0" xfId="0" applyNumberFormat="1" applyFont="1" applyFill="1" applyBorder="1" applyAlignment="1">
      <alignment vertical="center"/>
    </xf>
    <xf numFmtId="0" fontId="7" fillId="2" borderId="10" xfId="1" applyNumberFormat="1" applyFont="1" applyFill="1" applyBorder="1" applyAlignment="1">
      <alignment horizontal="center" vertical="center"/>
    </xf>
    <xf numFmtId="0" fontId="4" fillId="2" borderId="0" xfId="1" applyNumberFormat="1" applyFont="1" applyFill="1" applyBorder="1" applyAlignment="1">
      <alignment horizontal="center" vertical="center"/>
    </xf>
    <xf numFmtId="0" fontId="5" fillId="2" borderId="0" xfId="1" applyNumberFormat="1" applyFont="1" applyFill="1" applyBorder="1" applyAlignment="1">
      <alignment horizontal="center" vertical="center" wrapText="1"/>
    </xf>
    <xf numFmtId="0" fontId="7" fillId="0" borderId="10" xfId="1" applyNumberFormat="1" applyFont="1" applyFill="1" applyBorder="1" applyAlignment="1">
      <alignment horizontal="center" vertical="center"/>
    </xf>
    <xf numFmtId="0" fontId="0" fillId="8" borderId="10" xfId="0" applyFill="1" applyBorder="1">
      <alignment vertical="center"/>
    </xf>
    <xf numFmtId="178" fontId="7" fillId="2" borderId="4" xfId="1" applyNumberFormat="1" applyFont="1" applyFill="1" applyBorder="1" applyAlignment="1">
      <alignment horizontal="center" vertical="center"/>
    </xf>
    <xf numFmtId="0" fontId="7" fillId="2" borderId="34" xfId="1" applyNumberFormat="1" applyFont="1" applyFill="1" applyBorder="1" applyAlignment="1">
      <alignment horizontal="center" vertical="center"/>
    </xf>
    <xf numFmtId="0" fontId="8" fillId="3" borderId="14" xfId="1" applyNumberFormat="1" applyFont="1" applyFill="1" applyBorder="1" applyAlignment="1">
      <alignment horizontal="center" vertical="center"/>
    </xf>
    <xf numFmtId="14" fontId="9" fillId="0" borderId="14" xfId="1" applyNumberFormat="1" applyFont="1" applyFill="1" applyBorder="1" applyAlignment="1">
      <alignment horizontal="center" vertical="center"/>
    </xf>
    <xf numFmtId="177" fontId="7" fillId="0" borderId="57" xfId="1" applyNumberFormat="1" applyFont="1" applyFill="1" applyBorder="1" applyAlignment="1">
      <alignment horizontal="center" vertical="center"/>
    </xf>
    <xf numFmtId="0" fontId="7" fillId="2" borderId="58" xfId="1" applyNumberFormat="1" applyFont="1" applyFill="1" applyBorder="1" applyAlignment="1">
      <alignment horizontal="center" vertical="center"/>
    </xf>
    <xf numFmtId="0" fontId="7" fillId="0" borderId="59" xfId="1" applyNumberFormat="1" applyFont="1" applyFill="1" applyBorder="1" applyAlignment="1">
      <alignment horizontal="center" vertical="center"/>
    </xf>
    <xf numFmtId="178" fontId="7" fillId="2" borderId="60" xfId="1" applyNumberFormat="1" applyFont="1" applyFill="1" applyBorder="1" applyAlignment="1">
      <alignment horizontal="center" vertical="center"/>
    </xf>
    <xf numFmtId="0" fontId="7" fillId="0" borderId="29" xfId="1" applyNumberFormat="1" applyFont="1" applyFill="1" applyBorder="1" applyAlignment="1">
      <alignment horizontal="center" vertical="center"/>
    </xf>
    <xf numFmtId="178" fontId="7" fillId="0" borderId="18" xfId="1" applyNumberFormat="1" applyFont="1" applyFill="1" applyBorder="1" applyAlignment="1">
      <alignment horizontal="center" vertical="center"/>
    </xf>
    <xf numFmtId="178" fontId="7" fillId="2" borderId="18" xfId="1" applyNumberFormat="1" applyFont="1" applyFill="1" applyBorder="1" applyAlignment="1">
      <alignment horizontal="center" vertical="center"/>
    </xf>
    <xf numFmtId="0" fontId="7" fillId="2" borderId="29" xfId="1" applyNumberFormat="1" applyFont="1" applyFill="1" applyBorder="1" applyAlignment="1">
      <alignment horizontal="center" vertical="center"/>
    </xf>
    <xf numFmtId="0" fontId="7" fillId="2" borderId="18" xfId="1" applyNumberFormat="1" applyFont="1" applyFill="1" applyBorder="1" applyAlignment="1">
      <alignment horizontal="center" vertical="center"/>
    </xf>
    <xf numFmtId="0" fontId="7" fillId="2" borderId="30" xfId="1" applyNumberFormat="1" applyFont="1" applyFill="1" applyBorder="1" applyAlignment="1">
      <alignment horizontal="center" vertical="center"/>
    </xf>
    <xf numFmtId="0" fontId="7" fillId="2" borderId="31" xfId="1" applyNumberFormat="1" applyFont="1" applyFill="1" applyBorder="1" applyAlignment="1">
      <alignment horizontal="center" vertical="center"/>
    </xf>
    <xf numFmtId="0" fontId="7" fillId="0" borderId="31" xfId="1" applyNumberFormat="1" applyFont="1" applyFill="1" applyBorder="1" applyAlignment="1">
      <alignment horizontal="center" vertical="center"/>
    </xf>
    <xf numFmtId="0" fontId="7" fillId="2" borderId="61" xfId="1" applyNumberFormat="1" applyFont="1" applyFill="1" applyBorder="1" applyAlignment="1">
      <alignment horizontal="center" vertical="center"/>
    </xf>
    <xf numFmtId="0" fontId="7" fillId="2" borderId="31" xfId="1" applyNumberFormat="1" applyFont="1" applyFill="1" applyBorder="1" applyAlignment="1">
      <alignment horizontal="center" vertical="center"/>
    </xf>
    <xf numFmtId="0" fontId="7" fillId="8" borderId="29" xfId="1" applyNumberFormat="1" applyFont="1" applyFill="1" applyBorder="1" applyAlignment="1">
      <alignment horizontal="center" vertical="center"/>
    </xf>
    <xf numFmtId="0" fontId="18" fillId="4" borderId="0" xfId="0" applyFont="1" applyFill="1">
      <alignment vertical="center"/>
    </xf>
    <xf numFmtId="0" fontId="7" fillId="2" borderId="10" xfId="1" applyNumberFormat="1" applyFont="1" applyFill="1" applyBorder="1" applyAlignment="1">
      <alignment horizontal="center" vertical="center"/>
    </xf>
    <xf numFmtId="0" fontId="7" fillId="2" borderId="31" xfId="1" applyNumberFormat="1" applyFont="1" applyFill="1" applyBorder="1" applyAlignment="1">
      <alignment horizontal="center" vertical="center"/>
    </xf>
    <xf numFmtId="0" fontId="7" fillId="0" borderId="10" xfId="1" applyNumberFormat="1" applyFont="1" applyFill="1" applyBorder="1" applyAlignment="1">
      <alignment horizontal="center" vertical="center"/>
    </xf>
    <xf numFmtId="14" fontId="0" fillId="0" borderId="0" xfId="0" applyNumberFormat="1" applyBorder="1">
      <alignment vertical="center"/>
    </xf>
    <xf numFmtId="181" fontId="0" fillId="0" borderId="0" xfId="0" applyNumberFormat="1" applyBorder="1" applyAlignment="1">
      <alignment horizontal="center" vertical="center"/>
    </xf>
    <xf numFmtId="0" fontId="7" fillId="0" borderId="29" xfId="1" applyNumberFormat="1" applyFont="1" applyFill="1" applyBorder="1" applyAlignment="1">
      <alignment vertical="center"/>
    </xf>
    <xf numFmtId="0" fontId="16" fillId="0" borderId="10" xfId="1" applyNumberFormat="1" applyFont="1" applyFill="1" applyBorder="1" applyAlignment="1">
      <alignment vertical="center"/>
    </xf>
    <xf numFmtId="0" fontId="7" fillId="2" borderId="18" xfId="1" applyNumberFormat="1" applyFont="1" applyFill="1" applyBorder="1" applyAlignment="1">
      <alignment horizontal="center" vertical="center"/>
    </xf>
    <xf numFmtId="0" fontId="16" fillId="0" borderId="29" xfId="1" applyNumberFormat="1" applyFont="1" applyFill="1" applyBorder="1" applyAlignment="1">
      <alignment vertical="center"/>
    </xf>
    <xf numFmtId="0" fontId="7" fillId="2" borderId="10" xfId="1" applyNumberFormat="1" applyFont="1" applyFill="1" applyBorder="1" applyAlignment="1">
      <alignment horizontal="center" vertical="center"/>
    </xf>
    <xf numFmtId="0" fontId="7" fillId="2" borderId="6" xfId="1" applyNumberFormat="1" applyFont="1" applyFill="1" applyBorder="1" applyAlignment="1">
      <alignment horizontal="center" vertical="center"/>
    </xf>
    <xf numFmtId="0" fontId="4" fillId="2" borderId="0" xfId="1" applyNumberFormat="1" applyFont="1" applyFill="1" applyBorder="1" applyAlignment="1">
      <alignment horizontal="center" vertical="center"/>
    </xf>
    <xf numFmtId="0" fontId="5" fillId="2" borderId="0" xfId="1" applyNumberFormat="1" applyFont="1" applyFill="1" applyBorder="1" applyAlignment="1">
      <alignment horizontal="center" vertical="center" wrapText="1"/>
    </xf>
    <xf numFmtId="0" fontId="7" fillId="2" borderId="31" xfId="1" applyNumberFormat="1" applyFont="1" applyFill="1" applyBorder="1" applyAlignment="1">
      <alignment horizontal="center" vertical="center"/>
    </xf>
    <xf numFmtId="0" fontId="7" fillId="2" borderId="32" xfId="1" applyNumberFormat="1" applyFont="1" applyFill="1" applyBorder="1" applyAlignment="1">
      <alignment horizontal="center" vertical="center"/>
    </xf>
    <xf numFmtId="0" fontId="7" fillId="2" borderId="18" xfId="1" applyNumberFormat="1" applyFont="1" applyFill="1" applyBorder="1" applyAlignment="1">
      <alignment horizontal="center" vertical="center"/>
    </xf>
    <xf numFmtId="0" fontId="7" fillId="0" borderId="10" xfId="1" applyNumberFormat="1" applyFont="1" applyFill="1" applyBorder="1" applyAlignment="1">
      <alignment horizontal="center" vertical="center"/>
    </xf>
    <xf numFmtId="0" fontId="7" fillId="0" borderId="18" xfId="1" applyNumberFormat="1" applyFont="1" applyFill="1" applyBorder="1" applyAlignment="1">
      <alignment horizontal="center" vertical="center"/>
    </xf>
    <xf numFmtId="0" fontId="7" fillId="0" borderId="18" xfId="1" applyNumberFormat="1" applyFont="1" applyFill="1" applyBorder="1" applyAlignment="1">
      <alignment vertical="center"/>
    </xf>
    <xf numFmtId="0" fontId="7" fillId="0" borderId="60" xfId="1" applyNumberFormat="1" applyFont="1" applyFill="1" applyBorder="1" applyAlignment="1">
      <alignment horizontal="center" vertical="center"/>
    </xf>
    <xf numFmtId="177" fontId="7" fillId="0" borderId="58" xfId="1" applyNumberFormat="1" applyFont="1" applyFill="1" applyBorder="1" applyAlignment="1">
      <alignment horizontal="center" vertical="center"/>
    </xf>
    <xf numFmtId="0" fontId="7" fillId="0" borderId="56" xfId="1" applyNumberFormat="1" applyFont="1" applyFill="1" applyBorder="1" applyAlignment="1">
      <alignment horizontal="center" vertical="center"/>
    </xf>
    <xf numFmtId="0" fontId="7" fillId="0" borderId="64" xfId="1" applyNumberFormat="1" applyFont="1" applyFill="1" applyBorder="1" applyAlignment="1">
      <alignment horizontal="center" vertical="center"/>
    </xf>
    <xf numFmtId="0" fontId="7" fillId="0" borderId="64" xfId="1" applyNumberFormat="1" applyFont="1" applyFill="1" applyBorder="1" applyAlignment="1">
      <alignment vertical="center"/>
    </xf>
    <xf numFmtId="0" fontId="7" fillId="2" borderId="64" xfId="1" applyNumberFormat="1" applyFont="1" applyFill="1" applyBorder="1" applyAlignment="1">
      <alignment horizontal="center" vertical="center"/>
    </xf>
    <xf numFmtId="0" fontId="7" fillId="2" borderId="65" xfId="1" applyNumberFormat="1" applyFont="1" applyFill="1" applyBorder="1" applyAlignment="1">
      <alignment horizontal="center" vertical="center"/>
    </xf>
    <xf numFmtId="0" fontId="7" fillId="0" borderId="10" xfId="1" applyNumberFormat="1" applyFont="1" applyFill="1" applyBorder="1" applyAlignment="1">
      <alignment horizontal="center" vertical="center"/>
    </xf>
    <xf numFmtId="0" fontId="7" fillId="0" borderId="10" xfId="1" applyNumberFormat="1" applyFont="1" applyFill="1" applyBorder="1" applyAlignment="1">
      <alignment horizontal="center" vertical="center"/>
    </xf>
    <xf numFmtId="0" fontId="7" fillId="4" borderId="31" xfId="1" applyNumberFormat="1" applyFont="1" applyFill="1" applyBorder="1" applyAlignment="1">
      <alignment horizontal="center" vertical="center"/>
    </xf>
    <xf numFmtId="0" fontId="7" fillId="0" borderId="10" xfId="1" applyNumberFormat="1" applyFont="1" applyFill="1" applyBorder="1" applyAlignment="1">
      <alignment horizontal="center" vertical="center"/>
    </xf>
    <xf numFmtId="0" fontId="16" fillId="8" borderId="29" xfId="1" applyNumberFormat="1" applyFont="1" applyFill="1" applyBorder="1" applyAlignment="1">
      <alignment vertical="center"/>
    </xf>
    <xf numFmtId="0" fontId="19" fillId="4" borderId="0" xfId="0" applyFont="1" applyFill="1">
      <alignment vertical="center"/>
    </xf>
    <xf numFmtId="0" fontId="4" fillId="2" borderId="0" xfId="1" applyNumberFormat="1" applyFont="1" applyFill="1" applyBorder="1" applyAlignment="1">
      <alignment horizontal="center" vertical="center"/>
    </xf>
    <xf numFmtId="0" fontId="5" fillId="2" borderId="0" xfId="1" applyNumberFormat="1" applyFont="1" applyFill="1" applyBorder="1" applyAlignment="1">
      <alignment horizontal="center" vertical="center" wrapText="1"/>
    </xf>
    <xf numFmtId="0" fontId="7" fillId="2" borderId="10" xfId="1" applyNumberFormat="1" applyFont="1" applyFill="1" applyBorder="1" applyAlignment="1">
      <alignment horizontal="center" vertical="center"/>
    </xf>
    <xf numFmtId="0" fontId="7" fillId="2" borderId="6" xfId="1" applyNumberFormat="1" applyFont="1" applyFill="1" applyBorder="1" applyAlignment="1">
      <alignment horizontal="center" vertical="center"/>
    </xf>
    <xf numFmtId="0" fontId="7" fillId="2" borderId="18" xfId="1" applyNumberFormat="1" applyFont="1" applyFill="1" applyBorder="1" applyAlignment="1">
      <alignment horizontal="center" vertical="center"/>
    </xf>
    <xf numFmtId="0" fontId="7" fillId="2" borderId="14" xfId="1" applyNumberFormat="1" applyFont="1" applyFill="1" applyBorder="1" applyAlignment="1">
      <alignment horizontal="center" vertical="center"/>
    </xf>
    <xf numFmtId="0" fontId="7" fillId="0" borderId="10" xfId="1" applyNumberFormat="1" applyFont="1" applyFill="1" applyBorder="1" applyAlignment="1">
      <alignment horizontal="center" vertical="center"/>
    </xf>
    <xf numFmtId="0" fontId="7" fillId="2" borderId="10" xfId="1" applyNumberFormat="1" applyFont="1" applyFill="1" applyBorder="1" applyAlignment="1">
      <alignment horizontal="center" vertical="center"/>
    </xf>
    <xf numFmtId="0" fontId="7" fillId="2" borderId="6" xfId="1" applyNumberFormat="1" applyFont="1" applyFill="1" applyBorder="1" applyAlignment="1">
      <alignment horizontal="center" vertical="center"/>
    </xf>
    <xf numFmtId="0" fontId="4" fillId="2" borderId="0" xfId="1" applyNumberFormat="1" applyFont="1" applyFill="1" applyBorder="1" applyAlignment="1">
      <alignment horizontal="center" vertical="center"/>
    </xf>
    <xf numFmtId="0" fontId="5" fillId="2" borderId="0" xfId="1" applyNumberFormat="1" applyFont="1" applyFill="1" applyBorder="1" applyAlignment="1">
      <alignment horizontal="center" vertical="center" wrapText="1"/>
    </xf>
    <xf numFmtId="0" fontId="7" fillId="4" borderId="14" xfId="1" applyNumberFormat="1" applyFont="1" applyFill="1" applyBorder="1" applyAlignment="1">
      <alignment horizontal="center" vertical="center"/>
    </xf>
    <xf numFmtId="0" fontId="7" fillId="2" borderId="18" xfId="1" applyNumberFormat="1" applyFont="1" applyFill="1" applyBorder="1" applyAlignment="1">
      <alignment horizontal="center" vertical="center"/>
    </xf>
    <xf numFmtId="0" fontId="7" fillId="2" borderId="14" xfId="1" applyNumberFormat="1" applyFont="1" applyFill="1" applyBorder="1" applyAlignment="1">
      <alignment horizontal="center" vertical="center"/>
    </xf>
    <xf numFmtId="0" fontId="7" fillId="0" borderId="10" xfId="1" applyNumberFormat="1" applyFont="1" applyFill="1" applyBorder="1" applyAlignment="1">
      <alignment horizontal="center" vertical="center"/>
    </xf>
    <xf numFmtId="0" fontId="7" fillId="0" borderId="30" xfId="1" applyNumberFormat="1" applyFont="1" applyFill="1" applyBorder="1" applyAlignment="1">
      <alignment horizontal="center" vertical="center"/>
    </xf>
    <xf numFmtId="0" fontId="7" fillId="0" borderId="32" xfId="1" applyNumberFormat="1" applyFont="1" applyFill="1" applyBorder="1" applyAlignment="1">
      <alignment horizontal="center" vertical="center"/>
    </xf>
    <xf numFmtId="178" fontId="7" fillId="2" borderId="4" xfId="1" applyNumberFormat="1" applyFont="1" applyFill="1" applyBorder="1" applyAlignment="1">
      <alignment horizontal="center" vertical="center" shrinkToFit="1"/>
    </xf>
    <xf numFmtId="0" fontId="7" fillId="2" borderId="60" xfId="1" applyNumberFormat="1" applyFont="1" applyFill="1" applyBorder="1" applyAlignment="1">
      <alignment horizontal="center" vertical="center"/>
    </xf>
    <xf numFmtId="0" fontId="7" fillId="0" borderId="31" xfId="1" applyNumberFormat="1" applyFont="1" applyFill="1" applyBorder="1" applyAlignment="1">
      <alignment vertical="center"/>
    </xf>
    <xf numFmtId="178" fontId="7" fillId="2" borderId="31" xfId="1" applyNumberFormat="1" applyFont="1" applyFill="1" applyBorder="1" applyAlignment="1">
      <alignment horizontal="center" vertical="center"/>
    </xf>
    <xf numFmtId="178" fontId="7" fillId="2" borderId="32" xfId="1" applyNumberFormat="1" applyFont="1" applyFill="1" applyBorder="1" applyAlignment="1">
      <alignment horizontal="center" vertical="center"/>
    </xf>
    <xf numFmtId="0" fontId="4" fillId="2" borderId="0" xfId="1" applyNumberFormat="1" applyFont="1" applyFill="1" applyBorder="1" applyAlignment="1">
      <alignment horizontal="center" vertical="center"/>
    </xf>
    <xf numFmtId="0" fontId="5" fillId="2" borderId="0" xfId="1" applyNumberFormat="1" applyFont="1" applyFill="1" applyBorder="1" applyAlignment="1">
      <alignment horizontal="center" vertical="center" wrapText="1"/>
    </xf>
    <xf numFmtId="0" fontId="7" fillId="2" borderId="10" xfId="1" applyNumberFormat="1" applyFont="1" applyFill="1" applyBorder="1" applyAlignment="1">
      <alignment horizontal="center" vertical="center"/>
    </xf>
    <xf numFmtId="0" fontId="7" fillId="2" borderId="6" xfId="1" applyNumberFormat="1" applyFont="1" applyFill="1" applyBorder="1" applyAlignment="1">
      <alignment horizontal="center" vertical="center"/>
    </xf>
    <xf numFmtId="0" fontId="7" fillId="4" borderId="14" xfId="1" applyNumberFormat="1" applyFont="1" applyFill="1" applyBorder="1" applyAlignment="1">
      <alignment horizontal="center" vertical="center"/>
    </xf>
    <xf numFmtId="0" fontId="7" fillId="2" borderId="18" xfId="1" applyNumberFormat="1" applyFont="1" applyFill="1" applyBorder="1" applyAlignment="1">
      <alignment horizontal="center" vertical="center"/>
    </xf>
    <xf numFmtId="0" fontId="7" fillId="2" borderId="14" xfId="1" applyNumberFormat="1" applyFont="1" applyFill="1" applyBorder="1" applyAlignment="1">
      <alignment horizontal="center" vertical="center"/>
    </xf>
    <xf numFmtId="0" fontId="7" fillId="0" borderId="10" xfId="1" applyNumberFormat="1" applyFont="1" applyFill="1" applyBorder="1" applyAlignment="1">
      <alignment horizontal="center" vertical="center"/>
    </xf>
    <xf numFmtId="0" fontId="7" fillId="0" borderId="66" xfId="1" applyNumberFormat="1" applyFont="1" applyFill="1" applyBorder="1" applyAlignment="1">
      <alignment horizontal="center" vertical="center"/>
    </xf>
    <xf numFmtId="0" fontId="7" fillId="0" borderId="67" xfId="1" applyNumberFormat="1" applyFont="1" applyFill="1" applyBorder="1" applyAlignment="1">
      <alignment horizontal="center" vertical="center"/>
    </xf>
    <xf numFmtId="0" fontId="10" fillId="0" borderId="18" xfId="1" applyNumberFormat="1" applyFont="1" applyFill="1" applyBorder="1" applyAlignment="1">
      <alignment vertical="center"/>
    </xf>
    <xf numFmtId="0" fontId="10" fillId="8" borderId="10" xfId="1" applyNumberFormat="1" applyFont="1" applyFill="1" applyBorder="1" applyAlignment="1">
      <alignment horizontal="center" vertical="center"/>
    </xf>
    <xf numFmtId="0" fontId="7" fillId="2" borderId="10" xfId="1" applyNumberFormat="1" applyFont="1" applyFill="1" applyBorder="1" applyAlignment="1">
      <alignment horizontal="center" vertical="center"/>
    </xf>
    <xf numFmtId="0" fontId="7" fillId="2" borderId="6" xfId="1" applyNumberFormat="1" applyFont="1" applyFill="1" applyBorder="1" applyAlignment="1">
      <alignment horizontal="center" vertical="center"/>
    </xf>
    <xf numFmtId="0" fontId="4" fillId="2" borderId="0" xfId="1" applyNumberFormat="1" applyFont="1" applyFill="1" applyBorder="1" applyAlignment="1">
      <alignment horizontal="center" vertical="center"/>
    </xf>
    <xf numFmtId="0" fontId="5" fillId="2" borderId="0" xfId="1" applyNumberFormat="1" applyFont="1" applyFill="1" applyBorder="1" applyAlignment="1">
      <alignment horizontal="center" vertical="center" wrapText="1"/>
    </xf>
    <xf numFmtId="0" fontId="7" fillId="4" borderId="14" xfId="1" applyNumberFormat="1" applyFont="1" applyFill="1" applyBorder="1" applyAlignment="1">
      <alignment horizontal="center" vertical="center"/>
    </xf>
    <xf numFmtId="0" fontId="7" fillId="2" borderId="18" xfId="1" applyNumberFormat="1" applyFont="1" applyFill="1" applyBorder="1" applyAlignment="1">
      <alignment horizontal="center" vertical="center"/>
    </xf>
    <xf numFmtId="0" fontId="7" fillId="2" borderId="14" xfId="1" applyNumberFormat="1" applyFont="1" applyFill="1" applyBorder="1" applyAlignment="1">
      <alignment horizontal="center" vertical="center"/>
    </xf>
    <xf numFmtId="0" fontId="7" fillId="0" borderId="10" xfId="1" applyNumberFormat="1" applyFont="1" applyFill="1" applyBorder="1" applyAlignment="1">
      <alignment horizontal="center" vertical="center"/>
    </xf>
    <xf numFmtId="0" fontId="4" fillId="2" borderId="0" xfId="1" applyNumberFormat="1" applyFont="1" applyFill="1" applyBorder="1" applyAlignment="1">
      <alignment horizontal="center" vertical="center"/>
    </xf>
    <xf numFmtId="0" fontId="5" fillId="2" borderId="0" xfId="1" applyNumberFormat="1" applyFont="1" applyFill="1" applyBorder="1" applyAlignment="1">
      <alignment horizontal="center" vertical="center" wrapText="1"/>
    </xf>
    <xf numFmtId="0" fontId="7" fillId="2" borderId="10" xfId="1" applyNumberFormat="1" applyFont="1" applyFill="1" applyBorder="1" applyAlignment="1">
      <alignment horizontal="center" vertical="center"/>
    </xf>
    <xf numFmtId="0" fontId="7" fillId="2" borderId="6" xfId="1" applyNumberFormat="1" applyFont="1" applyFill="1" applyBorder="1" applyAlignment="1">
      <alignment horizontal="center" vertical="center"/>
    </xf>
    <xf numFmtId="0" fontId="7" fillId="2" borderId="18" xfId="1" applyNumberFormat="1" applyFont="1" applyFill="1" applyBorder="1" applyAlignment="1">
      <alignment horizontal="center" vertical="center"/>
    </xf>
    <xf numFmtId="0" fontId="7" fillId="2" borderId="14" xfId="1" applyNumberFormat="1" applyFont="1" applyFill="1" applyBorder="1" applyAlignment="1">
      <alignment horizontal="center" vertical="center"/>
    </xf>
    <xf numFmtId="0" fontId="7" fillId="0" borderId="10" xfId="1" applyNumberFormat="1" applyFont="1" applyFill="1" applyBorder="1" applyAlignment="1">
      <alignment horizontal="center" vertical="center"/>
    </xf>
    <xf numFmtId="0" fontId="10" fillId="0" borderId="10" xfId="1" applyNumberFormat="1" applyFont="1" applyFill="1" applyBorder="1" applyAlignment="1">
      <alignment horizontal="center" vertical="center"/>
    </xf>
    <xf numFmtId="0" fontId="10" fillId="0" borderId="29" xfId="1" applyNumberFormat="1" applyFont="1" applyFill="1" applyBorder="1" applyAlignment="1">
      <alignment vertical="center"/>
    </xf>
    <xf numFmtId="0" fontId="7" fillId="4" borderId="14" xfId="1" applyNumberFormat="1" applyFont="1" applyFill="1" applyBorder="1" applyAlignment="1">
      <alignment horizontal="center" vertical="center"/>
    </xf>
    <xf numFmtId="0" fontId="25" fillId="0" borderId="18" xfId="1" applyNumberFormat="1" applyFont="1" applyFill="1" applyBorder="1" applyAlignment="1">
      <alignment vertical="center"/>
    </xf>
    <xf numFmtId="0" fontId="24" fillId="0" borderId="0" xfId="0" applyFont="1">
      <alignment vertical="center"/>
    </xf>
    <xf numFmtId="0" fontId="4" fillId="2" borderId="0" xfId="1" applyNumberFormat="1" applyFont="1" applyFill="1" applyBorder="1" applyAlignment="1">
      <alignment horizontal="center" vertical="center"/>
    </xf>
    <xf numFmtId="0" fontId="5" fillId="2" borderId="0" xfId="1" applyNumberFormat="1" applyFont="1" applyFill="1" applyBorder="1" applyAlignment="1">
      <alignment horizontal="center" vertical="center" wrapText="1"/>
    </xf>
    <xf numFmtId="0" fontId="7" fillId="2" borderId="10" xfId="1" applyNumberFormat="1" applyFont="1" applyFill="1" applyBorder="1" applyAlignment="1">
      <alignment horizontal="center" vertical="center"/>
    </xf>
    <xf numFmtId="0" fontId="7" fillId="2" borderId="6" xfId="1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4" borderId="14" xfId="1" applyNumberFormat="1" applyFont="1" applyFill="1" applyBorder="1" applyAlignment="1">
      <alignment horizontal="center" vertical="center"/>
    </xf>
    <xf numFmtId="0" fontId="7" fillId="2" borderId="18" xfId="1" applyNumberFormat="1" applyFont="1" applyFill="1" applyBorder="1" applyAlignment="1">
      <alignment horizontal="center" vertical="center"/>
    </xf>
    <xf numFmtId="0" fontId="7" fillId="2" borderId="14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0" xfId="1" applyNumberFormat="1" applyFont="1" applyFill="1" applyBorder="1" applyAlignment="1">
      <alignment horizontal="center" vertical="center"/>
    </xf>
    <xf numFmtId="0" fontId="7" fillId="0" borderId="10" xfId="1" applyNumberFormat="1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7" fillId="4" borderId="14" xfId="1" applyNumberFormat="1" applyFont="1" applyFill="1" applyBorder="1" applyAlignment="1">
      <alignment horizontal="center" vertical="center"/>
    </xf>
    <xf numFmtId="0" fontId="7" fillId="0" borderId="10" xfId="1" applyNumberFormat="1" applyFont="1" applyFill="1" applyBorder="1" applyAlignment="1">
      <alignment horizontal="center" vertical="center"/>
    </xf>
    <xf numFmtId="0" fontId="7" fillId="4" borderId="14" xfId="1" applyNumberFormat="1" applyFont="1" applyFill="1" applyBorder="1" applyAlignment="1">
      <alignment horizontal="center" vertical="center"/>
    </xf>
    <xf numFmtId="0" fontId="7" fillId="0" borderId="10" xfId="1" applyNumberFormat="1" applyFont="1" applyFill="1" applyBorder="1" applyAlignment="1">
      <alignment horizontal="center" vertical="center"/>
    </xf>
    <xf numFmtId="0" fontId="25" fillId="8" borderId="64" xfId="1" applyNumberFormat="1" applyFont="1" applyFill="1" applyBorder="1" applyAlignment="1">
      <alignment vertical="center"/>
    </xf>
    <xf numFmtId="0" fontId="7" fillId="10" borderId="10" xfId="1" applyNumberFormat="1" applyFont="1" applyFill="1" applyBorder="1" applyAlignment="1">
      <alignment vertical="center"/>
    </xf>
    <xf numFmtId="0" fontId="7" fillId="4" borderId="64" xfId="1" applyNumberFormat="1" applyFont="1" applyFill="1" applyBorder="1" applyAlignment="1">
      <alignment vertical="center"/>
    </xf>
    <xf numFmtId="0" fontId="25" fillId="0" borderId="10" xfId="1" applyNumberFormat="1" applyFont="1" applyFill="1" applyBorder="1" applyAlignment="1">
      <alignment vertical="center"/>
    </xf>
    <xf numFmtId="0" fontId="10" fillId="8" borderId="64" xfId="1" applyNumberFormat="1" applyFont="1" applyFill="1" applyBorder="1" applyAlignment="1">
      <alignment horizontal="center" vertical="center"/>
    </xf>
    <xf numFmtId="0" fontId="7" fillId="0" borderId="10" xfId="1" applyNumberFormat="1" applyFont="1" applyFill="1" applyBorder="1" applyAlignment="1">
      <alignment horizontal="center" vertical="center"/>
    </xf>
    <xf numFmtId="181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81" fontId="0" fillId="0" borderId="10" xfId="0" applyNumberFormat="1" applyBorder="1" applyAlignment="1">
      <alignment horizontal="center" vertical="center"/>
    </xf>
    <xf numFmtId="0" fontId="7" fillId="8" borderId="44" xfId="1" applyNumberFormat="1" applyFont="1" applyFill="1" applyBorder="1" applyAlignment="1">
      <alignment horizontal="center" vertical="center"/>
    </xf>
    <xf numFmtId="0" fontId="7" fillId="8" borderId="14" xfId="1" applyNumberFormat="1" applyFont="1" applyFill="1" applyBorder="1" applyAlignment="1">
      <alignment horizontal="center" vertical="center"/>
    </xf>
    <xf numFmtId="0" fontId="7" fillId="4" borderId="44" xfId="1" applyNumberFormat="1" applyFont="1" applyFill="1" applyBorder="1" applyAlignment="1">
      <alignment horizontal="center" vertical="center"/>
    </xf>
    <xf numFmtId="0" fontId="7" fillId="4" borderId="13" xfId="1" applyNumberFormat="1" applyFont="1" applyFill="1" applyBorder="1" applyAlignment="1">
      <alignment horizontal="center" vertical="center"/>
    </xf>
    <xf numFmtId="0" fontId="7" fillId="4" borderId="45" xfId="1" applyNumberFormat="1" applyFont="1" applyFill="1" applyBorder="1" applyAlignment="1">
      <alignment horizontal="center" vertical="center"/>
    </xf>
    <xf numFmtId="0" fontId="7" fillId="8" borderId="12" xfId="1" applyNumberFormat="1" applyFont="1" applyFill="1" applyBorder="1" applyAlignment="1">
      <alignment horizontal="center" vertical="center"/>
    </xf>
    <xf numFmtId="0" fontId="7" fillId="8" borderId="13" xfId="1" applyNumberFormat="1" applyFont="1" applyFill="1" applyBorder="1" applyAlignment="1">
      <alignment horizontal="center" vertical="center"/>
    </xf>
    <xf numFmtId="0" fontId="7" fillId="2" borderId="10" xfId="1" applyNumberFormat="1" applyFont="1" applyFill="1" applyBorder="1" applyAlignment="1">
      <alignment horizontal="center" vertical="center"/>
    </xf>
    <xf numFmtId="0" fontId="7" fillId="2" borderId="2" xfId="1" applyNumberFormat="1" applyFont="1" applyFill="1" applyBorder="1" applyAlignment="1">
      <alignment horizontal="center" vertical="center"/>
    </xf>
    <xf numFmtId="0" fontId="7" fillId="2" borderId="3" xfId="1" applyNumberFormat="1" applyFont="1" applyFill="1" applyBorder="1" applyAlignment="1">
      <alignment horizontal="center" vertical="center"/>
    </xf>
    <xf numFmtId="0" fontId="7" fillId="2" borderId="5" xfId="1" applyNumberFormat="1" applyFont="1" applyFill="1" applyBorder="1" applyAlignment="1">
      <alignment horizontal="center" vertical="center"/>
    </xf>
    <xf numFmtId="0" fontId="7" fillId="2" borderId="6" xfId="1" applyNumberFormat="1" applyFont="1" applyFill="1" applyBorder="1" applyAlignment="1">
      <alignment horizontal="center" vertical="center"/>
    </xf>
    <xf numFmtId="176" fontId="7" fillId="2" borderId="50" xfId="1" applyNumberFormat="1" applyFont="1" applyFill="1" applyBorder="1" applyAlignment="1">
      <alignment horizontal="center" vertical="center"/>
    </xf>
    <xf numFmtId="176" fontId="7" fillId="2" borderId="10" xfId="1" applyNumberFormat="1" applyFont="1" applyFill="1" applyBorder="1" applyAlignment="1">
      <alignment horizontal="center" vertical="center"/>
    </xf>
    <xf numFmtId="176" fontId="7" fillId="2" borderId="51" xfId="1" applyNumberFormat="1" applyFont="1" applyFill="1" applyBorder="1" applyAlignment="1">
      <alignment horizontal="center" vertical="center"/>
    </xf>
    <xf numFmtId="176" fontId="7" fillId="2" borderId="43" xfId="1" applyNumberFormat="1" applyFont="1" applyFill="1" applyBorder="1" applyAlignment="1">
      <alignment horizontal="center" vertical="center"/>
    </xf>
    <xf numFmtId="0" fontId="2" fillId="2" borderId="0" xfId="1" applyNumberFormat="1" applyFont="1" applyFill="1" applyBorder="1" applyAlignment="1">
      <alignment horizontal="center" vertical="center" wrapText="1"/>
    </xf>
    <xf numFmtId="0" fontId="4" fillId="2" borderId="0" xfId="1" applyNumberFormat="1" applyFont="1" applyFill="1" applyBorder="1" applyAlignment="1">
      <alignment horizontal="center" vertical="center"/>
    </xf>
    <xf numFmtId="0" fontId="5" fillId="2" borderId="1" xfId="1" applyNumberFormat="1" applyFont="1" applyFill="1" applyBorder="1" applyAlignment="1">
      <alignment horizontal="center" vertical="center" wrapText="1"/>
    </xf>
    <xf numFmtId="0" fontId="5" fillId="2" borderId="0" xfId="1" applyNumberFormat="1" applyFont="1" applyFill="1" applyBorder="1" applyAlignment="1">
      <alignment horizontal="center" vertical="center" wrapText="1"/>
    </xf>
    <xf numFmtId="0" fontId="7" fillId="2" borderId="35" xfId="1" applyNumberFormat="1" applyFont="1" applyFill="1" applyBorder="1" applyAlignment="1">
      <alignment horizontal="right" vertical="top"/>
    </xf>
    <xf numFmtId="0" fontId="7" fillId="2" borderId="36" xfId="1" applyNumberFormat="1" applyFont="1" applyFill="1" applyBorder="1" applyAlignment="1">
      <alignment horizontal="right" vertical="top"/>
    </xf>
    <xf numFmtId="176" fontId="7" fillId="2" borderId="49" xfId="1" applyNumberFormat="1" applyFont="1" applyFill="1" applyBorder="1" applyAlignment="1">
      <alignment horizontal="center" vertical="center"/>
    </xf>
    <xf numFmtId="176" fontId="7" fillId="2" borderId="42" xfId="1" applyNumberFormat="1" applyFont="1" applyFill="1" applyBorder="1" applyAlignment="1">
      <alignment horizontal="center" vertical="center"/>
    </xf>
    <xf numFmtId="176" fontId="7" fillId="2" borderId="23" xfId="1" applyNumberFormat="1" applyFont="1" applyFill="1" applyBorder="1" applyAlignment="1">
      <alignment horizontal="center" vertical="center"/>
    </xf>
    <xf numFmtId="176" fontId="7" fillId="2" borderId="33" xfId="1" applyNumberFormat="1" applyFont="1" applyFill="1" applyBorder="1" applyAlignment="1">
      <alignment horizontal="center" vertical="center"/>
    </xf>
    <xf numFmtId="176" fontId="7" fillId="2" borderId="29" xfId="1" applyNumberFormat="1" applyFont="1" applyFill="1" applyBorder="1" applyAlignment="1">
      <alignment horizontal="center" vertical="center"/>
    </xf>
    <xf numFmtId="0" fontId="7" fillId="2" borderId="54" xfId="1" applyNumberFormat="1" applyFont="1" applyFill="1" applyBorder="1" applyAlignment="1">
      <alignment horizontal="center" vertical="center"/>
    </xf>
    <xf numFmtId="0" fontId="7" fillId="2" borderId="55" xfId="1" applyNumberFormat="1" applyFont="1" applyFill="1" applyBorder="1" applyAlignment="1">
      <alignment horizontal="center" vertical="center"/>
    </xf>
    <xf numFmtId="0" fontId="7" fillId="2" borderId="56" xfId="1" applyNumberFormat="1" applyFont="1" applyFill="1" applyBorder="1" applyAlignment="1">
      <alignment horizontal="center" vertical="center"/>
    </xf>
    <xf numFmtId="0" fontId="7" fillId="2" borderId="31" xfId="1" applyNumberFormat="1" applyFont="1" applyFill="1" applyBorder="1" applyAlignment="1">
      <alignment horizontal="center" vertical="center"/>
    </xf>
    <xf numFmtId="0" fontId="7" fillId="2" borderId="32" xfId="1" applyNumberFormat="1" applyFont="1" applyFill="1" applyBorder="1" applyAlignment="1">
      <alignment horizontal="center" vertical="center"/>
    </xf>
    <xf numFmtId="0" fontId="16" fillId="4" borderId="62" xfId="1" applyNumberFormat="1" applyFont="1" applyFill="1" applyBorder="1" applyAlignment="1">
      <alignment horizontal="center" vertical="center"/>
    </xf>
    <xf numFmtId="0" fontId="16" fillId="4" borderId="13" xfId="1" applyNumberFormat="1" applyFont="1" applyFill="1" applyBorder="1" applyAlignment="1">
      <alignment horizontal="center" vertical="center"/>
    </xf>
    <xf numFmtId="0" fontId="16" fillId="4" borderId="14" xfId="1" applyNumberFormat="1" applyFont="1" applyFill="1" applyBorder="1" applyAlignment="1">
      <alignment horizontal="center" vertical="center"/>
    </xf>
    <xf numFmtId="0" fontId="7" fillId="4" borderId="12" xfId="1" applyNumberFormat="1" applyFont="1" applyFill="1" applyBorder="1" applyAlignment="1">
      <alignment horizontal="center" vertical="center"/>
    </xf>
    <xf numFmtId="0" fontId="7" fillId="4" borderId="14" xfId="1" applyNumberFormat="1" applyFont="1" applyFill="1" applyBorder="1" applyAlignment="1">
      <alignment horizontal="center" vertical="center"/>
    </xf>
    <xf numFmtId="0" fontId="7" fillId="2" borderId="23" xfId="1" applyNumberFormat="1" applyFont="1" applyFill="1" applyBorder="1" applyAlignment="1">
      <alignment horizontal="center" vertical="center"/>
    </xf>
    <xf numFmtId="0" fontId="7" fillId="2" borderId="24" xfId="1" applyNumberFormat="1" applyFont="1" applyFill="1" applyBorder="1" applyAlignment="1">
      <alignment horizontal="center" vertical="center"/>
    </xf>
    <xf numFmtId="0" fontId="7" fillId="2" borderId="18" xfId="1" applyNumberFormat="1" applyFont="1" applyFill="1" applyBorder="1" applyAlignment="1">
      <alignment horizontal="center" vertical="center"/>
    </xf>
    <xf numFmtId="0" fontId="7" fillId="8" borderId="15" xfId="1" applyNumberFormat="1" applyFont="1" applyFill="1" applyBorder="1" applyAlignment="1">
      <alignment horizontal="center" vertical="center"/>
    </xf>
    <xf numFmtId="0" fontId="7" fillId="8" borderId="17" xfId="1" applyNumberFormat="1" applyFont="1" applyFill="1" applyBorder="1" applyAlignment="1">
      <alignment horizontal="center" vertical="center"/>
    </xf>
    <xf numFmtId="0" fontId="7" fillId="8" borderId="16" xfId="1" applyNumberFormat="1" applyFont="1" applyFill="1" applyBorder="1" applyAlignment="1">
      <alignment horizontal="center" vertical="center"/>
    </xf>
    <xf numFmtId="0" fontId="7" fillId="4" borderId="62" xfId="1" applyNumberFormat="1" applyFont="1" applyFill="1" applyBorder="1" applyAlignment="1">
      <alignment horizontal="center" vertical="center"/>
    </xf>
    <xf numFmtId="0" fontId="7" fillId="8" borderId="62" xfId="1" applyNumberFormat="1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 shrinkToFit="1"/>
    </xf>
    <xf numFmtId="14" fontId="0" fillId="0" borderId="10" xfId="0" applyNumberFormat="1" applyFill="1" applyBorder="1" applyAlignment="1">
      <alignment horizontal="center" vertical="center" shrinkToFit="1"/>
    </xf>
    <xf numFmtId="181" fontId="0" fillId="0" borderId="10" xfId="0" applyNumberFormat="1" applyFill="1" applyBorder="1" applyAlignment="1">
      <alignment horizontal="center" vertical="center" shrinkToFit="1"/>
    </xf>
    <xf numFmtId="0" fontId="7" fillId="2" borderId="63" xfId="1" applyNumberFormat="1" applyFont="1" applyFill="1" applyBorder="1" applyAlignment="1">
      <alignment horizontal="center" vertical="center"/>
    </xf>
    <xf numFmtId="0" fontId="7" fillId="2" borderId="14" xfId="1" applyNumberFormat="1" applyFont="1" applyFill="1" applyBorder="1" applyAlignment="1">
      <alignment horizontal="center" vertical="center"/>
    </xf>
    <xf numFmtId="176" fontId="7" fillId="2" borderId="24" xfId="1" applyNumberFormat="1" applyFont="1" applyFill="1" applyBorder="1" applyAlignment="1">
      <alignment horizontal="center" vertical="center"/>
    </xf>
    <xf numFmtId="176" fontId="7" fillId="2" borderId="18" xfId="1" applyNumberFormat="1" applyFont="1" applyFill="1" applyBorder="1" applyAlignment="1">
      <alignment horizontal="center" vertical="center"/>
    </xf>
    <xf numFmtId="0" fontId="7" fillId="8" borderId="64" xfId="1" applyNumberFormat="1" applyFont="1" applyFill="1" applyBorder="1" applyAlignment="1">
      <alignment horizontal="center" vertical="center"/>
    </xf>
    <xf numFmtId="0" fontId="10" fillId="4" borderId="13" xfId="1" applyNumberFormat="1" applyFont="1" applyFill="1" applyBorder="1" applyAlignment="1">
      <alignment horizontal="center" vertical="center"/>
    </xf>
    <xf numFmtId="0" fontId="10" fillId="4" borderId="64" xfId="1" applyNumberFormat="1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14" fontId="0" fillId="0" borderId="10" xfId="0" applyNumberFormat="1" applyFill="1" applyBorder="1" applyAlignment="1">
      <alignment horizontal="center" vertical="center"/>
    </xf>
    <xf numFmtId="181" fontId="0" fillId="0" borderId="10" xfId="0" applyNumberFormat="1" applyFill="1" applyBorder="1" applyAlignment="1">
      <alignment horizontal="center" vertical="center"/>
    </xf>
    <xf numFmtId="176" fontId="7" fillId="2" borderId="63" xfId="1" applyNumberFormat="1" applyFont="1" applyFill="1" applyBorder="1" applyAlignment="1">
      <alignment horizontal="center" vertical="center"/>
    </xf>
    <xf numFmtId="176" fontId="7" fillId="2" borderId="14" xfId="1" applyNumberFormat="1" applyFont="1" applyFill="1" applyBorder="1" applyAlignment="1">
      <alignment horizontal="center" vertical="center"/>
    </xf>
    <xf numFmtId="0" fontId="7" fillId="4" borderId="64" xfId="1" applyNumberFormat="1" applyFont="1" applyFill="1" applyBorder="1" applyAlignment="1">
      <alignment horizontal="center" vertical="center"/>
    </xf>
    <xf numFmtId="176" fontId="7" fillId="0" borderId="23" xfId="1" applyNumberFormat="1" applyFont="1" applyFill="1" applyBorder="1" applyAlignment="1">
      <alignment horizontal="center" vertical="center"/>
    </xf>
    <xf numFmtId="176" fontId="7" fillId="0" borderId="10" xfId="1" applyNumberFormat="1" applyFont="1" applyFill="1" applyBorder="1" applyAlignment="1">
      <alignment horizontal="center" vertical="center"/>
    </xf>
    <xf numFmtId="176" fontId="7" fillId="0" borderId="33" xfId="1" applyNumberFormat="1" applyFont="1" applyFill="1" applyBorder="1" applyAlignment="1">
      <alignment horizontal="center" vertical="center"/>
    </xf>
    <xf numFmtId="176" fontId="7" fillId="0" borderId="29" xfId="1" applyNumberFormat="1" applyFont="1" applyFill="1" applyBorder="1" applyAlignment="1">
      <alignment horizontal="center" vertical="center"/>
    </xf>
    <xf numFmtId="176" fontId="7" fillId="0" borderId="24" xfId="1" applyNumberFormat="1" applyFont="1" applyFill="1" applyBorder="1" applyAlignment="1">
      <alignment horizontal="center" vertical="center"/>
    </xf>
    <xf numFmtId="176" fontId="7" fillId="0" borderId="18" xfId="1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81" fontId="0" fillId="0" borderId="12" xfId="0" applyNumberFormat="1" applyBorder="1" applyAlignment="1">
      <alignment horizontal="center" vertical="center"/>
    </xf>
    <xf numFmtId="181" fontId="0" fillId="0" borderId="13" xfId="0" applyNumberFormat="1" applyBorder="1" applyAlignment="1">
      <alignment horizontal="center" vertical="center"/>
    </xf>
    <xf numFmtId="181" fontId="0" fillId="0" borderId="14" xfId="0" applyNumberFormat="1" applyBorder="1" applyAlignment="1">
      <alignment horizontal="center" vertical="center"/>
    </xf>
    <xf numFmtId="0" fontId="10" fillId="8" borderId="62" xfId="1" applyNumberFormat="1" applyFont="1" applyFill="1" applyBorder="1" applyAlignment="1">
      <alignment horizontal="center" vertical="center"/>
    </xf>
    <xf numFmtId="0" fontId="10" fillId="8" borderId="13" xfId="1" applyNumberFormat="1" applyFont="1" applyFill="1" applyBorder="1" applyAlignment="1">
      <alignment horizontal="center" vertical="center"/>
    </xf>
    <xf numFmtId="0" fontId="10" fillId="8" borderId="14" xfId="1" applyNumberFormat="1" applyFont="1" applyFill="1" applyBorder="1" applyAlignment="1">
      <alignment horizontal="center" vertical="center"/>
    </xf>
    <xf numFmtId="0" fontId="7" fillId="4" borderId="10" xfId="1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shrinkToFit="1"/>
    </xf>
    <xf numFmtId="14" fontId="0" fillId="0" borderId="10" xfId="0" applyNumberFormat="1" applyBorder="1" applyAlignment="1">
      <alignment horizontal="center" vertical="center" shrinkToFit="1"/>
    </xf>
    <xf numFmtId="181" fontId="0" fillId="0" borderId="10" xfId="0" applyNumberFormat="1" applyBorder="1" applyAlignment="1">
      <alignment horizontal="center" vertical="center" shrinkToFit="1"/>
    </xf>
    <xf numFmtId="0" fontId="25" fillId="4" borderId="13" xfId="1" applyNumberFormat="1" applyFont="1" applyFill="1" applyBorder="1" applyAlignment="1">
      <alignment horizontal="center" vertical="center"/>
    </xf>
    <xf numFmtId="0" fontId="25" fillId="4" borderId="64" xfId="1" applyNumberFormat="1" applyFont="1" applyFill="1" applyBorder="1" applyAlignment="1">
      <alignment horizontal="center" vertical="center"/>
    </xf>
    <xf numFmtId="0" fontId="7" fillId="8" borderId="68" xfId="1" applyNumberFormat="1" applyFont="1" applyFill="1" applyBorder="1" applyAlignment="1">
      <alignment horizontal="center" vertical="center"/>
    </xf>
    <xf numFmtId="0" fontId="7" fillId="8" borderId="69" xfId="1" applyNumberFormat="1" applyFont="1" applyFill="1" applyBorder="1" applyAlignment="1">
      <alignment horizontal="center" vertical="center"/>
    </xf>
    <xf numFmtId="0" fontId="7" fillId="8" borderId="61" xfId="1" applyNumberFormat="1" applyFont="1" applyFill="1" applyBorder="1" applyAlignment="1">
      <alignment horizontal="center" vertical="center"/>
    </xf>
    <xf numFmtId="0" fontId="10" fillId="8" borderId="12" xfId="1" applyNumberFormat="1" applyFont="1" applyFill="1" applyBorder="1" applyAlignment="1">
      <alignment horizontal="center" vertical="center"/>
    </xf>
    <xf numFmtId="0" fontId="10" fillId="8" borderId="64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9" borderId="10" xfId="0" applyFill="1" applyBorder="1">
      <alignment vertical="center"/>
    </xf>
    <xf numFmtId="14" fontId="0" fillId="9" borderId="10" xfId="0" applyNumberFormat="1" applyFill="1" applyBorder="1">
      <alignment vertical="center"/>
    </xf>
  </cellXfs>
  <cellStyles count="3">
    <cellStyle name="표준" xfId="0" builtinId="0"/>
    <cellStyle name="표준 2" xfId="2" xr:uid="{00000000-0005-0000-0000-000001000000}"/>
    <cellStyle name="표준 3" xfId="1" xr:uid="{00000000-0005-0000-0000-000002000000}"/>
  </cellStyles>
  <dxfs count="42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2" name="object1">
          <a:extLst>
            <a:ext uri="{FF2B5EF4-FFF2-40B4-BE49-F238E27FC236}">
              <a16:creationId xmlns:a16="http://schemas.microsoft.com/office/drawing/2014/main" id="{D2EE74FB-3362-4ECE-86FA-F1C5164F7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3" name="object2">
          <a:extLst>
            <a:ext uri="{FF2B5EF4-FFF2-40B4-BE49-F238E27FC236}">
              <a16:creationId xmlns:a16="http://schemas.microsoft.com/office/drawing/2014/main" id="{6F0BD791-259C-4FC7-B704-9A99AF8D8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4" name="object3">
          <a:extLst>
            <a:ext uri="{FF2B5EF4-FFF2-40B4-BE49-F238E27FC236}">
              <a16:creationId xmlns:a16="http://schemas.microsoft.com/office/drawing/2014/main" id="{92E56ED8-26A3-48EC-B204-86A3034B6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5" name="object4">
          <a:extLst>
            <a:ext uri="{FF2B5EF4-FFF2-40B4-BE49-F238E27FC236}">
              <a16:creationId xmlns:a16="http://schemas.microsoft.com/office/drawing/2014/main" id="{1EFCE321-CABD-43C5-9310-6439DCF41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6" name="object5">
          <a:extLst>
            <a:ext uri="{FF2B5EF4-FFF2-40B4-BE49-F238E27FC236}">
              <a16:creationId xmlns:a16="http://schemas.microsoft.com/office/drawing/2014/main" id="{46436637-C6DE-46AA-9535-0525026C6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7" name="object6">
          <a:extLst>
            <a:ext uri="{FF2B5EF4-FFF2-40B4-BE49-F238E27FC236}">
              <a16:creationId xmlns:a16="http://schemas.microsoft.com/office/drawing/2014/main" id="{A562D0C8-8331-4626-86B6-01F06899C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8" name="object7">
          <a:extLst>
            <a:ext uri="{FF2B5EF4-FFF2-40B4-BE49-F238E27FC236}">
              <a16:creationId xmlns:a16="http://schemas.microsoft.com/office/drawing/2014/main" id="{2CEC66E6-80C6-4301-8A69-926D2FF40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9" name="object8">
          <a:extLst>
            <a:ext uri="{FF2B5EF4-FFF2-40B4-BE49-F238E27FC236}">
              <a16:creationId xmlns:a16="http://schemas.microsoft.com/office/drawing/2014/main" id="{2B844479-0437-40E6-8173-18D1A23BA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0" name="object9">
          <a:extLst>
            <a:ext uri="{FF2B5EF4-FFF2-40B4-BE49-F238E27FC236}">
              <a16:creationId xmlns:a16="http://schemas.microsoft.com/office/drawing/2014/main" id="{311EC1E0-FBF6-4C43-A6B2-6780F4134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1" name="object10">
          <a:extLst>
            <a:ext uri="{FF2B5EF4-FFF2-40B4-BE49-F238E27FC236}">
              <a16:creationId xmlns:a16="http://schemas.microsoft.com/office/drawing/2014/main" id="{4A80665F-DAAC-4150-A9BD-4DE7ADA58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2" name="object11">
          <a:extLst>
            <a:ext uri="{FF2B5EF4-FFF2-40B4-BE49-F238E27FC236}">
              <a16:creationId xmlns:a16="http://schemas.microsoft.com/office/drawing/2014/main" id="{55CDEE0D-4D2F-4C53-BABD-1FC0CD196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3" name="object12">
          <a:extLst>
            <a:ext uri="{FF2B5EF4-FFF2-40B4-BE49-F238E27FC236}">
              <a16:creationId xmlns:a16="http://schemas.microsoft.com/office/drawing/2014/main" id="{E8B0A7E2-ECB0-445B-886B-03551082A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4" name="object13">
          <a:extLst>
            <a:ext uri="{FF2B5EF4-FFF2-40B4-BE49-F238E27FC236}">
              <a16:creationId xmlns:a16="http://schemas.microsoft.com/office/drawing/2014/main" id="{C5FE27EB-CBEC-44A7-B697-07D172A8F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5" name="object14">
          <a:extLst>
            <a:ext uri="{FF2B5EF4-FFF2-40B4-BE49-F238E27FC236}">
              <a16:creationId xmlns:a16="http://schemas.microsoft.com/office/drawing/2014/main" id="{CE14D662-361C-43FE-AFAF-5911A20DE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6" name="object15">
          <a:extLst>
            <a:ext uri="{FF2B5EF4-FFF2-40B4-BE49-F238E27FC236}">
              <a16:creationId xmlns:a16="http://schemas.microsoft.com/office/drawing/2014/main" id="{A2C36A83-8DAB-4074-ADE1-0BAC77DAC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7" name="object16">
          <a:extLst>
            <a:ext uri="{FF2B5EF4-FFF2-40B4-BE49-F238E27FC236}">
              <a16:creationId xmlns:a16="http://schemas.microsoft.com/office/drawing/2014/main" id="{B7593547-732A-453D-92E3-D4A0B8444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8" name="object17">
          <a:extLst>
            <a:ext uri="{FF2B5EF4-FFF2-40B4-BE49-F238E27FC236}">
              <a16:creationId xmlns:a16="http://schemas.microsoft.com/office/drawing/2014/main" id="{C2A2DA7C-4A1A-447A-9DD5-A27D08635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9" name="object18">
          <a:extLst>
            <a:ext uri="{FF2B5EF4-FFF2-40B4-BE49-F238E27FC236}">
              <a16:creationId xmlns:a16="http://schemas.microsoft.com/office/drawing/2014/main" id="{C0BD6026-79C2-4DD9-9E4F-DCCB3DC96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2" name="object1">
          <a:extLst>
            <a:ext uri="{FF2B5EF4-FFF2-40B4-BE49-F238E27FC236}">
              <a16:creationId xmlns:a16="http://schemas.microsoft.com/office/drawing/2014/main" id="{8BF21E94-793E-471A-9481-A1484CD6D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3" name="object2">
          <a:extLst>
            <a:ext uri="{FF2B5EF4-FFF2-40B4-BE49-F238E27FC236}">
              <a16:creationId xmlns:a16="http://schemas.microsoft.com/office/drawing/2014/main" id="{17DAFBBA-C35B-41E0-983D-8A8AEE83C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4" name="object3">
          <a:extLst>
            <a:ext uri="{FF2B5EF4-FFF2-40B4-BE49-F238E27FC236}">
              <a16:creationId xmlns:a16="http://schemas.microsoft.com/office/drawing/2014/main" id="{B522384B-3E89-494F-A47A-A658F0DFC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5" name="object4">
          <a:extLst>
            <a:ext uri="{FF2B5EF4-FFF2-40B4-BE49-F238E27FC236}">
              <a16:creationId xmlns:a16="http://schemas.microsoft.com/office/drawing/2014/main" id="{6A79A5B1-C5E9-431A-BC2C-2498059C3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6" name="object5">
          <a:extLst>
            <a:ext uri="{FF2B5EF4-FFF2-40B4-BE49-F238E27FC236}">
              <a16:creationId xmlns:a16="http://schemas.microsoft.com/office/drawing/2014/main" id="{103A37D4-1E85-413B-A4B2-289BA0066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7" name="object6">
          <a:extLst>
            <a:ext uri="{FF2B5EF4-FFF2-40B4-BE49-F238E27FC236}">
              <a16:creationId xmlns:a16="http://schemas.microsoft.com/office/drawing/2014/main" id="{6D337DAD-3B72-4487-B1E1-A15E6C944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8" name="object7">
          <a:extLst>
            <a:ext uri="{FF2B5EF4-FFF2-40B4-BE49-F238E27FC236}">
              <a16:creationId xmlns:a16="http://schemas.microsoft.com/office/drawing/2014/main" id="{CD7C0918-DF1D-4F64-BD66-6E94DEDBC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9" name="object8">
          <a:extLst>
            <a:ext uri="{FF2B5EF4-FFF2-40B4-BE49-F238E27FC236}">
              <a16:creationId xmlns:a16="http://schemas.microsoft.com/office/drawing/2014/main" id="{1AC7FA36-E8D2-492A-A1E8-7E07E5A20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0" name="object9">
          <a:extLst>
            <a:ext uri="{FF2B5EF4-FFF2-40B4-BE49-F238E27FC236}">
              <a16:creationId xmlns:a16="http://schemas.microsoft.com/office/drawing/2014/main" id="{3FE1FF7A-06AA-4658-80A3-C4AF9C6DA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1" name="object10">
          <a:extLst>
            <a:ext uri="{FF2B5EF4-FFF2-40B4-BE49-F238E27FC236}">
              <a16:creationId xmlns:a16="http://schemas.microsoft.com/office/drawing/2014/main" id="{29B7A0CC-1768-4345-B523-73CA10C54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2" name="object11">
          <a:extLst>
            <a:ext uri="{FF2B5EF4-FFF2-40B4-BE49-F238E27FC236}">
              <a16:creationId xmlns:a16="http://schemas.microsoft.com/office/drawing/2014/main" id="{EE314D14-C9EC-4D29-A98D-3943E1B16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3" name="object12">
          <a:extLst>
            <a:ext uri="{FF2B5EF4-FFF2-40B4-BE49-F238E27FC236}">
              <a16:creationId xmlns:a16="http://schemas.microsoft.com/office/drawing/2014/main" id="{9BCF5EFB-69F5-48DF-82FC-EDB0AB8C2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4" name="object13">
          <a:extLst>
            <a:ext uri="{FF2B5EF4-FFF2-40B4-BE49-F238E27FC236}">
              <a16:creationId xmlns:a16="http://schemas.microsoft.com/office/drawing/2014/main" id="{C93EA49B-C5AE-4816-9F51-C40418017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5" name="object14">
          <a:extLst>
            <a:ext uri="{FF2B5EF4-FFF2-40B4-BE49-F238E27FC236}">
              <a16:creationId xmlns:a16="http://schemas.microsoft.com/office/drawing/2014/main" id="{F992F08B-B7D2-4471-8892-C1AF04C34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6" name="object15">
          <a:extLst>
            <a:ext uri="{FF2B5EF4-FFF2-40B4-BE49-F238E27FC236}">
              <a16:creationId xmlns:a16="http://schemas.microsoft.com/office/drawing/2014/main" id="{26A77115-7962-4209-99AA-BC75CCC07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7" name="object16">
          <a:extLst>
            <a:ext uri="{FF2B5EF4-FFF2-40B4-BE49-F238E27FC236}">
              <a16:creationId xmlns:a16="http://schemas.microsoft.com/office/drawing/2014/main" id="{A8EA6550-801D-4482-B0F8-EC6DCAC43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8" name="object17">
          <a:extLst>
            <a:ext uri="{FF2B5EF4-FFF2-40B4-BE49-F238E27FC236}">
              <a16:creationId xmlns:a16="http://schemas.microsoft.com/office/drawing/2014/main" id="{EF850632-3DB4-49D8-883E-DEAE79FD9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9" name="object18">
          <a:extLst>
            <a:ext uri="{FF2B5EF4-FFF2-40B4-BE49-F238E27FC236}">
              <a16:creationId xmlns:a16="http://schemas.microsoft.com/office/drawing/2014/main" id="{23BDAEDD-FE90-4368-A157-2D469DAE0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38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2" name="object1">
          <a:extLst>
            <a:ext uri="{FF2B5EF4-FFF2-40B4-BE49-F238E27FC236}">
              <a16:creationId xmlns:a16="http://schemas.microsoft.com/office/drawing/2014/main" id="{902DA932-6227-4E74-873D-2563E9D56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3" name="object2">
          <a:extLst>
            <a:ext uri="{FF2B5EF4-FFF2-40B4-BE49-F238E27FC236}">
              <a16:creationId xmlns:a16="http://schemas.microsoft.com/office/drawing/2014/main" id="{422342A1-41A0-487F-80BB-33B6CA385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4" name="object3">
          <a:extLst>
            <a:ext uri="{FF2B5EF4-FFF2-40B4-BE49-F238E27FC236}">
              <a16:creationId xmlns:a16="http://schemas.microsoft.com/office/drawing/2014/main" id="{CD446B4D-20D8-40A8-B806-3AF43AF4B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5" name="object4">
          <a:extLst>
            <a:ext uri="{FF2B5EF4-FFF2-40B4-BE49-F238E27FC236}">
              <a16:creationId xmlns:a16="http://schemas.microsoft.com/office/drawing/2014/main" id="{AAAC437F-8475-4FA4-A3C7-FF89AE882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6" name="object5">
          <a:extLst>
            <a:ext uri="{FF2B5EF4-FFF2-40B4-BE49-F238E27FC236}">
              <a16:creationId xmlns:a16="http://schemas.microsoft.com/office/drawing/2014/main" id="{5C862AEE-DDB9-49F1-9449-19D144B8E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7" name="object6">
          <a:extLst>
            <a:ext uri="{FF2B5EF4-FFF2-40B4-BE49-F238E27FC236}">
              <a16:creationId xmlns:a16="http://schemas.microsoft.com/office/drawing/2014/main" id="{6DBB7BA0-154A-4F3C-BA1A-D92FA8E05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8" name="object7">
          <a:extLst>
            <a:ext uri="{FF2B5EF4-FFF2-40B4-BE49-F238E27FC236}">
              <a16:creationId xmlns:a16="http://schemas.microsoft.com/office/drawing/2014/main" id="{60567B76-934D-4B18-916E-E8EC09228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9" name="object8">
          <a:extLst>
            <a:ext uri="{FF2B5EF4-FFF2-40B4-BE49-F238E27FC236}">
              <a16:creationId xmlns:a16="http://schemas.microsoft.com/office/drawing/2014/main" id="{462260E8-6226-4B02-AA27-4B810EB22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0" name="object9">
          <a:extLst>
            <a:ext uri="{FF2B5EF4-FFF2-40B4-BE49-F238E27FC236}">
              <a16:creationId xmlns:a16="http://schemas.microsoft.com/office/drawing/2014/main" id="{EDCFB0B7-9BC5-461D-B1DD-63BF90F75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1" name="object10">
          <a:extLst>
            <a:ext uri="{FF2B5EF4-FFF2-40B4-BE49-F238E27FC236}">
              <a16:creationId xmlns:a16="http://schemas.microsoft.com/office/drawing/2014/main" id="{AB4CB72D-2DDD-405C-82B9-FCB94992E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2" name="object11">
          <a:extLst>
            <a:ext uri="{FF2B5EF4-FFF2-40B4-BE49-F238E27FC236}">
              <a16:creationId xmlns:a16="http://schemas.microsoft.com/office/drawing/2014/main" id="{1B8BF6AC-4CEE-4751-A0EF-4889015AB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3" name="object12">
          <a:extLst>
            <a:ext uri="{FF2B5EF4-FFF2-40B4-BE49-F238E27FC236}">
              <a16:creationId xmlns:a16="http://schemas.microsoft.com/office/drawing/2014/main" id="{5A9EE37A-4338-4920-AEE1-9C31A7C8F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4" name="object13">
          <a:extLst>
            <a:ext uri="{FF2B5EF4-FFF2-40B4-BE49-F238E27FC236}">
              <a16:creationId xmlns:a16="http://schemas.microsoft.com/office/drawing/2014/main" id="{26E7CBDA-CC07-4A99-9D0D-FD4189CE3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5" name="object14">
          <a:extLst>
            <a:ext uri="{FF2B5EF4-FFF2-40B4-BE49-F238E27FC236}">
              <a16:creationId xmlns:a16="http://schemas.microsoft.com/office/drawing/2014/main" id="{F9B635BB-6A84-4F4C-B41A-DEBCCBD21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6" name="object15">
          <a:extLst>
            <a:ext uri="{FF2B5EF4-FFF2-40B4-BE49-F238E27FC236}">
              <a16:creationId xmlns:a16="http://schemas.microsoft.com/office/drawing/2014/main" id="{B57B054C-0998-4935-9DA4-40324AD61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7" name="object16">
          <a:extLst>
            <a:ext uri="{FF2B5EF4-FFF2-40B4-BE49-F238E27FC236}">
              <a16:creationId xmlns:a16="http://schemas.microsoft.com/office/drawing/2014/main" id="{4EAE4CA1-D4BA-4B86-A6C3-D20C2C8FB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8" name="object17">
          <a:extLst>
            <a:ext uri="{FF2B5EF4-FFF2-40B4-BE49-F238E27FC236}">
              <a16:creationId xmlns:a16="http://schemas.microsoft.com/office/drawing/2014/main" id="{84784BD0-0A14-4F61-9F34-7F07F6B57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9" name="object18">
          <a:extLst>
            <a:ext uri="{FF2B5EF4-FFF2-40B4-BE49-F238E27FC236}">
              <a16:creationId xmlns:a16="http://schemas.microsoft.com/office/drawing/2014/main" id="{84FD0D2F-0EE4-4C03-A30A-3B1314458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2" name="object1">
          <a:extLst>
            <a:ext uri="{FF2B5EF4-FFF2-40B4-BE49-F238E27FC236}">
              <a16:creationId xmlns:a16="http://schemas.microsoft.com/office/drawing/2014/main" id="{1F7EF891-1A94-460B-8D7F-CA0E95FEB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3" name="object2">
          <a:extLst>
            <a:ext uri="{FF2B5EF4-FFF2-40B4-BE49-F238E27FC236}">
              <a16:creationId xmlns:a16="http://schemas.microsoft.com/office/drawing/2014/main" id="{4B90845D-06C0-4652-9330-3F68876D5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4" name="object3">
          <a:extLst>
            <a:ext uri="{FF2B5EF4-FFF2-40B4-BE49-F238E27FC236}">
              <a16:creationId xmlns:a16="http://schemas.microsoft.com/office/drawing/2014/main" id="{0158B00E-97A6-451E-A856-CED8C0F54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5" name="object4">
          <a:extLst>
            <a:ext uri="{FF2B5EF4-FFF2-40B4-BE49-F238E27FC236}">
              <a16:creationId xmlns:a16="http://schemas.microsoft.com/office/drawing/2014/main" id="{BC4686D2-3683-449B-A9D2-C15F927A1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6" name="object5">
          <a:extLst>
            <a:ext uri="{FF2B5EF4-FFF2-40B4-BE49-F238E27FC236}">
              <a16:creationId xmlns:a16="http://schemas.microsoft.com/office/drawing/2014/main" id="{EF1FC575-60BB-425A-BCD5-51207BB98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7" name="object6">
          <a:extLst>
            <a:ext uri="{FF2B5EF4-FFF2-40B4-BE49-F238E27FC236}">
              <a16:creationId xmlns:a16="http://schemas.microsoft.com/office/drawing/2014/main" id="{4273ED7D-A223-4DC4-9E1E-A83D7A4F9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8" name="object7">
          <a:extLst>
            <a:ext uri="{FF2B5EF4-FFF2-40B4-BE49-F238E27FC236}">
              <a16:creationId xmlns:a16="http://schemas.microsoft.com/office/drawing/2014/main" id="{F0B314AD-5B53-482B-9473-8BB2AC335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9" name="object8">
          <a:extLst>
            <a:ext uri="{FF2B5EF4-FFF2-40B4-BE49-F238E27FC236}">
              <a16:creationId xmlns:a16="http://schemas.microsoft.com/office/drawing/2014/main" id="{2E36FE93-5049-445C-ACDE-0247BC370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0" name="object9">
          <a:extLst>
            <a:ext uri="{FF2B5EF4-FFF2-40B4-BE49-F238E27FC236}">
              <a16:creationId xmlns:a16="http://schemas.microsoft.com/office/drawing/2014/main" id="{C983437E-E7EB-47D4-B8FB-44D1B55CD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1" name="object10">
          <a:extLst>
            <a:ext uri="{FF2B5EF4-FFF2-40B4-BE49-F238E27FC236}">
              <a16:creationId xmlns:a16="http://schemas.microsoft.com/office/drawing/2014/main" id="{32A6B668-7392-48C5-BFFC-4DB614C3F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2" name="object11">
          <a:extLst>
            <a:ext uri="{FF2B5EF4-FFF2-40B4-BE49-F238E27FC236}">
              <a16:creationId xmlns:a16="http://schemas.microsoft.com/office/drawing/2014/main" id="{3B621D11-D734-4B31-BD4D-B13E53F7A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3" name="object12">
          <a:extLst>
            <a:ext uri="{FF2B5EF4-FFF2-40B4-BE49-F238E27FC236}">
              <a16:creationId xmlns:a16="http://schemas.microsoft.com/office/drawing/2014/main" id="{5EE77986-5420-49A6-B4F1-80173E82A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4" name="object13">
          <a:extLst>
            <a:ext uri="{FF2B5EF4-FFF2-40B4-BE49-F238E27FC236}">
              <a16:creationId xmlns:a16="http://schemas.microsoft.com/office/drawing/2014/main" id="{0824571E-E240-4829-BDDC-FC79610E8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5" name="object14">
          <a:extLst>
            <a:ext uri="{FF2B5EF4-FFF2-40B4-BE49-F238E27FC236}">
              <a16:creationId xmlns:a16="http://schemas.microsoft.com/office/drawing/2014/main" id="{9DFDAB42-208B-4558-894C-A11407F54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6" name="object15">
          <a:extLst>
            <a:ext uri="{FF2B5EF4-FFF2-40B4-BE49-F238E27FC236}">
              <a16:creationId xmlns:a16="http://schemas.microsoft.com/office/drawing/2014/main" id="{6A9B9251-0767-42DD-8732-E9F1CD019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7" name="object16">
          <a:extLst>
            <a:ext uri="{FF2B5EF4-FFF2-40B4-BE49-F238E27FC236}">
              <a16:creationId xmlns:a16="http://schemas.microsoft.com/office/drawing/2014/main" id="{BFEC5B3C-6304-4B06-9C4C-A9B0C4454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8" name="object17">
          <a:extLst>
            <a:ext uri="{FF2B5EF4-FFF2-40B4-BE49-F238E27FC236}">
              <a16:creationId xmlns:a16="http://schemas.microsoft.com/office/drawing/2014/main" id="{EF41C87A-225A-400C-B733-A7856075D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9" name="object18">
          <a:extLst>
            <a:ext uri="{FF2B5EF4-FFF2-40B4-BE49-F238E27FC236}">
              <a16:creationId xmlns:a16="http://schemas.microsoft.com/office/drawing/2014/main" id="{34074492-76F7-4006-8D8F-6B10FAF33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2" name="object1">
          <a:extLst>
            <a:ext uri="{FF2B5EF4-FFF2-40B4-BE49-F238E27FC236}">
              <a16:creationId xmlns:a16="http://schemas.microsoft.com/office/drawing/2014/main" id="{EF9331F1-9899-4DA1-86EF-1EF32884B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3" name="object2">
          <a:extLst>
            <a:ext uri="{FF2B5EF4-FFF2-40B4-BE49-F238E27FC236}">
              <a16:creationId xmlns:a16="http://schemas.microsoft.com/office/drawing/2014/main" id="{53D4EC0E-D080-4E6D-A0CF-9BA754445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4" name="object3">
          <a:extLst>
            <a:ext uri="{FF2B5EF4-FFF2-40B4-BE49-F238E27FC236}">
              <a16:creationId xmlns:a16="http://schemas.microsoft.com/office/drawing/2014/main" id="{B8083AEB-EC7A-45D6-AFCC-95FBAB772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5" name="object4">
          <a:extLst>
            <a:ext uri="{FF2B5EF4-FFF2-40B4-BE49-F238E27FC236}">
              <a16:creationId xmlns:a16="http://schemas.microsoft.com/office/drawing/2014/main" id="{DD79AD8F-0042-4AB3-8DBA-C2021F91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6" name="object5">
          <a:extLst>
            <a:ext uri="{FF2B5EF4-FFF2-40B4-BE49-F238E27FC236}">
              <a16:creationId xmlns:a16="http://schemas.microsoft.com/office/drawing/2014/main" id="{594E555F-FE1D-49CF-AA60-4BDCC7670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7" name="object6">
          <a:extLst>
            <a:ext uri="{FF2B5EF4-FFF2-40B4-BE49-F238E27FC236}">
              <a16:creationId xmlns:a16="http://schemas.microsoft.com/office/drawing/2014/main" id="{4F54A70D-7BAA-41B9-A8C5-4B5070519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8" name="object7">
          <a:extLst>
            <a:ext uri="{FF2B5EF4-FFF2-40B4-BE49-F238E27FC236}">
              <a16:creationId xmlns:a16="http://schemas.microsoft.com/office/drawing/2014/main" id="{7D60A0BA-C78F-4BD4-B29A-0F673AF4A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9" name="object8">
          <a:extLst>
            <a:ext uri="{FF2B5EF4-FFF2-40B4-BE49-F238E27FC236}">
              <a16:creationId xmlns:a16="http://schemas.microsoft.com/office/drawing/2014/main" id="{9C519E35-A490-4542-B21D-8B8C2ECC1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0" name="object9">
          <a:extLst>
            <a:ext uri="{FF2B5EF4-FFF2-40B4-BE49-F238E27FC236}">
              <a16:creationId xmlns:a16="http://schemas.microsoft.com/office/drawing/2014/main" id="{BCAB414B-A844-4C81-A50C-D159492D2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1" name="object10">
          <a:extLst>
            <a:ext uri="{FF2B5EF4-FFF2-40B4-BE49-F238E27FC236}">
              <a16:creationId xmlns:a16="http://schemas.microsoft.com/office/drawing/2014/main" id="{B0D3EFB3-E6F8-4FBB-8558-7C8BC8C40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2" name="object11">
          <a:extLst>
            <a:ext uri="{FF2B5EF4-FFF2-40B4-BE49-F238E27FC236}">
              <a16:creationId xmlns:a16="http://schemas.microsoft.com/office/drawing/2014/main" id="{D2A3ADDF-749C-406E-8940-3AE86ECF8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3" name="object12">
          <a:extLst>
            <a:ext uri="{FF2B5EF4-FFF2-40B4-BE49-F238E27FC236}">
              <a16:creationId xmlns:a16="http://schemas.microsoft.com/office/drawing/2014/main" id="{ECABC84F-21C8-4705-A0CE-CAC30620A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4" name="object13">
          <a:extLst>
            <a:ext uri="{FF2B5EF4-FFF2-40B4-BE49-F238E27FC236}">
              <a16:creationId xmlns:a16="http://schemas.microsoft.com/office/drawing/2014/main" id="{0102E961-3F15-47C1-9B64-8E0AFFE89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5" name="object14">
          <a:extLst>
            <a:ext uri="{FF2B5EF4-FFF2-40B4-BE49-F238E27FC236}">
              <a16:creationId xmlns:a16="http://schemas.microsoft.com/office/drawing/2014/main" id="{CE8AD4CA-BB5D-40CA-A7B2-9A04DFFE8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6" name="object15">
          <a:extLst>
            <a:ext uri="{FF2B5EF4-FFF2-40B4-BE49-F238E27FC236}">
              <a16:creationId xmlns:a16="http://schemas.microsoft.com/office/drawing/2014/main" id="{9951A924-7040-4203-8BFF-AC741D4A0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7" name="object16">
          <a:extLst>
            <a:ext uri="{FF2B5EF4-FFF2-40B4-BE49-F238E27FC236}">
              <a16:creationId xmlns:a16="http://schemas.microsoft.com/office/drawing/2014/main" id="{0E4F0A3A-9DC8-431A-A59B-E397E7E69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8" name="object17">
          <a:extLst>
            <a:ext uri="{FF2B5EF4-FFF2-40B4-BE49-F238E27FC236}">
              <a16:creationId xmlns:a16="http://schemas.microsoft.com/office/drawing/2014/main" id="{B88C208F-5A15-4327-9562-26597BB67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9" name="object18">
          <a:extLst>
            <a:ext uri="{FF2B5EF4-FFF2-40B4-BE49-F238E27FC236}">
              <a16:creationId xmlns:a16="http://schemas.microsoft.com/office/drawing/2014/main" id="{994FBF55-327F-4D83-9734-E5FFD80BA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2" name="object1">
          <a:extLst>
            <a:ext uri="{FF2B5EF4-FFF2-40B4-BE49-F238E27FC236}">
              <a16:creationId xmlns:a16="http://schemas.microsoft.com/office/drawing/2014/main" id="{F5CA292C-87ED-434E-A963-0780E6DD2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3" name="object2">
          <a:extLst>
            <a:ext uri="{FF2B5EF4-FFF2-40B4-BE49-F238E27FC236}">
              <a16:creationId xmlns:a16="http://schemas.microsoft.com/office/drawing/2014/main" id="{ABEBE958-EECC-421C-8160-65222C099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4" name="object3">
          <a:extLst>
            <a:ext uri="{FF2B5EF4-FFF2-40B4-BE49-F238E27FC236}">
              <a16:creationId xmlns:a16="http://schemas.microsoft.com/office/drawing/2014/main" id="{B452926F-C1D7-4308-9B58-7FB9EE3CF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5" name="object4">
          <a:extLst>
            <a:ext uri="{FF2B5EF4-FFF2-40B4-BE49-F238E27FC236}">
              <a16:creationId xmlns:a16="http://schemas.microsoft.com/office/drawing/2014/main" id="{37E0280C-5B05-4ED0-AC60-D27AA6020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6" name="object5">
          <a:extLst>
            <a:ext uri="{FF2B5EF4-FFF2-40B4-BE49-F238E27FC236}">
              <a16:creationId xmlns:a16="http://schemas.microsoft.com/office/drawing/2014/main" id="{2B649D28-BC19-472D-806B-96026B06C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7" name="object6">
          <a:extLst>
            <a:ext uri="{FF2B5EF4-FFF2-40B4-BE49-F238E27FC236}">
              <a16:creationId xmlns:a16="http://schemas.microsoft.com/office/drawing/2014/main" id="{25B40B93-2747-474A-87EE-D9332B59C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8" name="object7">
          <a:extLst>
            <a:ext uri="{FF2B5EF4-FFF2-40B4-BE49-F238E27FC236}">
              <a16:creationId xmlns:a16="http://schemas.microsoft.com/office/drawing/2014/main" id="{FF438A68-3FF1-4998-B290-4B6242E3D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9" name="object8">
          <a:extLst>
            <a:ext uri="{FF2B5EF4-FFF2-40B4-BE49-F238E27FC236}">
              <a16:creationId xmlns:a16="http://schemas.microsoft.com/office/drawing/2014/main" id="{B31B76BC-22D5-4999-87DA-A2D207310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0" name="object9">
          <a:extLst>
            <a:ext uri="{FF2B5EF4-FFF2-40B4-BE49-F238E27FC236}">
              <a16:creationId xmlns:a16="http://schemas.microsoft.com/office/drawing/2014/main" id="{1C669656-A06D-4890-AF67-925E44D5C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1" name="object10">
          <a:extLst>
            <a:ext uri="{FF2B5EF4-FFF2-40B4-BE49-F238E27FC236}">
              <a16:creationId xmlns:a16="http://schemas.microsoft.com/office/drawing/2014/main" id="{644F87D8-64DC-44ED-B11E-E3C869480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2" name="object11">
          <a:extLst>
            <a:ext uri="{FF2B5EF4-FFF2-40B4-BE49-F238E27FC236}">
              <a16:creationId xmlns:a16="http://schemas.microsoft.com/office/drawing/2014/main" id="{206B8707-9DF8-49A0-8AE5-25270E93D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3" name="object12">
          <a:extLst>
            <a:ext uri="{FF2B5EF4-FFF2-40B4-BE49-F238E27FC236}">
              <a16:creationId xmlns:a16="http://schemas.microsoft.com/office/drawing/2014/main" id="{31B9AD52-A486-4E90-8C08-8570278C0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4" name="object13">
          <a:extLst>
            <a:ext uri="{FF2B5EF4-FFF2-40B4-BE49-F238E27FC236}">
              <a16:creationId xmlns:a16="http://schemas.microsoft.com/office/drawing/2014/main" id="{A7A6D515-AE13-42B7-82A6-B364D0CD1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5" name="object14">
          <a:extLst>
            <a:ext uri="{FF2B5EF4-FFF2-40B4-BE49-F238E27FC236}">
              <a16:creationId xmlns:a16="http://schemas.microsoft.com/office/drawing/2014/main" id="{13F27D7E-3EA3-47A7-AEF5-D77532A8C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6" name="object15">
          <a:extLst>
            <a:ext uri="{FF2B5EF4-FFF2-40B4-BE49-F238E27FC236}">
              <a16:creationId xmlns:a16="http://schemas.microsoft.com/office/drawing/2014/main" id="{F9283EB8-9366-45C2-8092-771702172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7" name="object16">
          <a:extLst>
            <a:ext uri="{FF2B5EF4-FFF2-40B4-BE49-F238E27FC236}">
              <a16:creationId xmlns:a16="http://schemas.microsoft.com/office/drawing/2014/main" id="{589390EE-DE7C-451A-9150-25BA515AD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8" name="object17">
          <a:extLst>
            <a:ext uri="{FF2B5EF4-FFF2-40B4-BE49-F238E27FC236}">
              <a16:creationId xmlns:a16="http://schemas.microsoft.com/office/drawing/2014/main" id="{4F6FE7A6-DA61-41ED-BB6F-F1C62C42E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9" name="object18">
          <a:extLst>
            <a:ext uri="{FF2B5EF4-FFF2-40B4-BE49-F238E27FC236}">
              <a16:creationId xmlns:a16="http://schemas.microsoft.com/office/drawing/2014/main" id="{C2B10289-B3E6-4834-86D5-C8DFD53B9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2" name="object1">
          <a:extLst>
            <a:ext uri="{FF2B5EF4-FFF2-40B4-BE49-F238E27FC236}">
              <a16:creationId xmlns:a16="http://schemas.microsoft.com/office/drawing/2014/main" id="{C1ABCF5F-A145-40BE-BF5A-C9C2CE6EC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3" name="object2">
          <a:extLst>
            <a:ext uri="{FF2B5EF4-FFF2-40B4-BE49-F238E27FC236}">
              <a16:creationId xmlns:a16="http://schemas.microsoft.com/office/drawing/2014/main" id="{BB0776DA-FE4C-4658-9B11-C8D7A6550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4" name="object3">
          <a:extLst>
            <a:ext uri="{FF2B5EF4-FFF2-40B4-BE49-F238E27FC236}">
              <a16:creationId xmlns:a16="http://schemas.microsoft.com/office/drawing/2014/main" id="{70F1E147-2DE8-4587-AD34-9835B24C8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5" name="object4">
          <a:extLst>
            <a:ext uri="{FF2B5EF4-FFF2-40B4-BE49-F238E27FC236}">
              <a16:creationId xmlns:a16="http://schemas.microsoft.com/office/drawing/2014/main" id="{FB6CA0C3-269D-4131-8D76-98D2B555D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6" name="object5">
          <a:extLst>
            <a:ext uri="{FF2B5EF4-FFF2-40B4-BE49-F238E27FC236}">
              <a16:creationId xmlns:a16="http://schemas.microsoft.com/office/drawing/2014/main" id="{A566D434-FC7C-4981-8CC5-EC67C0D35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7" name="object6">
          <a:extLst>
            <a:ext uri="{FF2B5EF4-FFF2-40B4-BE49-F238E27FC236}">
              <a16:creationId xmlns:a16="http://schemas.microsoft.com/office/drawing/2014/main" id="{CCC5E42C-DD01-4CE7-AE2D-A2F66E6F3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8" name="object7">
          <a:extLst>
            <a:ext uri="{FF2B5EF4-FFF2-40B4-BE49-F238E27FC236}">
              <a16:creationId xmlns:a16="http://schemas.microsoft.com/office/drawing/2014/main" id="{14288A31-81A9-4A47-80C1-0A8DB6758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9" name="object8">
          <a:extLst>
            <a:ext uri="{FF2B5EF4-FFF2-40B4-BE49-F238E27FC236}">
              <a16:creationId xmlns:a16="http://schemas.microsoft.com/office/drawing/2014/main" id="{2D6BFA01-A5C7-4319-8663-EEE4AA013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0" name="object9">
          <a:extLst>
            <a:ext uri="{FF2B5EF4-FFF2-40B4-BE49-F238E27FC236}">
              <a16:creationId xmlns:a16="http://schemas.microsoft.com/office/drawing/2014/main" id="{92789742-6CA9-4D9E-B3E0-357BEBEAA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1" name="object10">
          <a:extLst>
            <a:ext uri="{FF2B5EF4-FFF2-40B4-BE49-F238E27FC236}">
              <a16:creationId xmlns:a16="http://schemas.microsoft.com/office/drawing/2014/main" id="{1DDF6B5A-44E3-4FF0-8406-7D819E10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2" name="object11">
          <a:extLst>
            <a:ext uri="{FF2B5EF4-FFF2-40B4-BE49-F238E27FC236}">
              <a16:creationId xmlns:a16="http://schemas.microsoft.com/office/drawing/2014/main" id="{442E079C-D87C-45F3-8A2D-4DC046AC3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3" name="object12">
          <a:extLst>
            <a:ext uri="{FF2B5EF4-FFF2-40B4-BE49-F238E27FC236}">
              <a16:creationId xmlns:a16="http://schemas.microsoft.com/office/drawing/2014/main" id="{DB4D5251-CAAD-4520-A2A1-7F88E6BA0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4" name="object13">
          <a:extLst>
            <a:ext uri="{FF2B5EF4-FFF2-40B4-BE49-F238E27FC236}">
              <a16:creationId xmlns:a16="http://schemas.microsoft.com/office/drawing/2014/main" id="{CA272E2F-5449-4153-9B1A-838333898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5" name="object14">
          <a:extLst>
            <a:ext uri="{FF2B5EF4-FFF2-40B4-BE49-F238E27FC236}">
              <a16:creationId xmlns:a16="http://schemas.microsoft.com/office/drawing/2014/main" id="{4409D7EF-C0E3-4EBB-A0CC-BCA9B32D0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6" name="object15">
          <a:extLst>
            <a:ext uri="{FF2B5EF4-FFF2-40B4-BE49-F238E27FC236}">
              <a16:creationId xmlns:a16="http://schemas.microsoft.com/office/drawing/2014/main" id="{5E8A53E2-FA4D-45E8-9EEA-E4975F0AB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7" name="object16">
          <a:extLst>
            <a:ext uri="{FF2B5EF4-FFF2-40B4-BE49-F238E27FC236}">
              <a16:creationId xmlns:a16="http://schemas.microsoft.com/office/drawing/2014/main" id="{9DDE0045-BE83-4444-8F20-58D7E0614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8" name="object17">
          <a:extLst>
            <a:ext uri="{FF2B5EF4-FFF2-40B4-BE49-F238E27FC236}">
              <a16:creationId xmlns:a16="http://schemas.microsoft.com/office/drawing/2014/main" id="{1FFA30A3-ADE3-475F-82FC-F749976CA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9" name="object18">
          <a:extLst>
            <a:ext uri="{FF2B5EF4-FFF2-40B4-BE49-F238E27FC236}">
              <a16:creationId xmlns:a16="http://schemas.microsoft.com/office/drawing/2014/main" id="{BC0C77A8-ECC9-4A36-A72B-244528E43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2" name="object1">
          <a:extLst>
            <a:ext uri="{FF2B5EF4-FFF2-40B4-BE49-F238E27FC236}">
              <a16:creationId xmlns:a16="http://schemas.microsoft.com/office/drawing/2014/main" id="{CBFE828A-3E31-4E51-B753-F4049D7FD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3" name="object2">
          <a:extLst>
            <a:ext uri="{FF2B5EF4-FFF2-40B4-BE49-F238E27FC236}">
              <a16:creationId xmlns:a16="http://schemas.microsoft.com/office/drawing/2014/main" id="{01D3D129-6248-409A-80C9-B9C3C6774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4" name="object3">
          <a:extLst>
            <a:ext uri="{FF2B5EF4-FFF2-40B4-BE49-F238E27FC236}">
              <a16:creationId xmlns:a16="http://schemas.microsoft.com/office/drawing/2014/main" id="{2BC82719-50A8-4A12-83BA-71D736821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5" name="object4">
          <a:extLst>
            <a:ext uri="{FF2B5EF4-FFF2-40B4-BE49-F238E27FC236}">
              <a16:creationId xmlns:a16="http://schemas.microsoft.com/office/drawing/2014/main" id="{1C75A84C-0D7F-4998-9DA1-AD3088E8E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6" name="object5">
          <a:extLst>
            <a:ext uri="{FF2B5EF4-FFF2-40B4-BE49-F238E27FC236}">
              <a16:creationId xmlns:a16="http://schemas.microsoft.com/office/drawing/2014/main" id="{27EC820D-D843-4B78-986B-331D88BF3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7" name="object6">
          <a:extLst>
            <a:ext uri="{FF2B5EF4-FFF2-40B4-BE49-F238E27FC236}">
              <a16:creationId xmlns:a16="http://schemas.microsoft.com/office/drawing/2014/main" id="{C89F6DD9-3ADF-42BB-B181-E1AD05DE2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8" name="object7">
          <a:extLst>
            <a:ext uri="{FF2B5EF4-FFF2-40B4-BE49-F238E27FC236}">
              <a16:creationId xmlns:a16="http://schemas.microsoft.com/office/drawing/2014/main" id="{118C8B67-FEEF-4F09-8040-559A16439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9" name="object8">
          <a:extLst>
            <a:ext uri="{FF2B5EF4-FFF2-40B4-BE49-F238E27FC236}">
              <a16:creationId xmlns:a16="http://schemas.microsoft.com/office/drawing/2014/main" id="{2F5EA397-5EE9-488C-9DD4-7D0D76A1F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0" name="object9">
          <a:extLst>
            <a:ext uri="{FF2B5EF4-FFF2-40B4-BE49-F238E27FC236}">
              <a16:creationId xmlns:a16="http://schemas.microsoft.com/office/drawing/2014/main" id="{A6A02BDF-4CB0-4424-8B69-5608F519C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1" name="object10">
          <a:extLst>
            <a:ext uri="{FF2B5EF4-FFF2-40B4-BE49-F238E27FC236}">
              <a16:creationId xmlns:a16="http://schemas.microsoft.com/office/drawing/2014/main" id="{49F0A552-2F31-4A7F-8923-C3452B4EE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2" name="object11">
          <a:extLst>
            <a:ext uri="{FF2B5EF4-FFF2-40B4-BE49-F238E27FC236}">
              <a16:creationId xmlns:a16="http://schemas.microsoft.com/office/drawing/2014/main" id="{C14A0AFF-6E96-41CF-A2B3-55C0B2717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3" name="object12">
          <a:extLst>
            <a:ext uri="{FF2B5EF4-FFF2-40B4-BE49-F238E27FC236}">
              <a16:creationId xmlns:a16="http://schemas.microsoft.com/office/drawing/2014/main" id="{8CA632BA-6E0E-407C-92B2-84D39999C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4" name="object13">
          <a:extLst>
            <a:ext uri="{FF2B5EF4-FFF2-40B4-BE49-F238E27FC236}">
              <a16:creationId xmlns:a16="http://schemas.microsoft.com/office/drawing/2014/main" id="{FA4A457E-BED6-4685-9538-BDE6EC761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5" name="object14">
          <a:extLst>
            <a:ext uri="{FF2B5EF4-FFF2-40B4-BE49-F238E27FC236}">
              <a16:creationId xmlns:a16="http://schemas.microsoft.com/office/drawing/2014/main" id="{620BBA4E-0765-43C3-8BEA-4DA227DB5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6" name="object15">
          <a:extLst>
            <a:ext uri="{FF2B5EF4-FFF2-40B4-BE49-F238E27FC236}">
              <a16:creationId xmlns:a16="http://schemas.microsoft.com/office/drawing/2014/main" id="{3476E540-C051-4444-BB6E-A5ACC2089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7" name="object16">
          <a:extLst>
            <a:ext uri="{FF2B5EF4-FFF2-40B4-BE49-F238E27FC236}">
              <a16:creationId xmlns:a16="http://schemas.microsoft.com/office/drawing/2014/main" id="{9C30A839-D638-44A9-AAF6-8ED55B46E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8" name="object17">
          <a:extLst>
            <a:ext uri="{FF2B5EF4-FFF2-40B4-BE49-F238E27FC236}">
              <a16:creationId xmlns:a16="http://schemas.microsoft.com/office/drawing/2014/main" id="{50633850-0508-4B5E-BFBC-07A70EBC5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9" name="object18">
          <a:extLst>
            <a:ext uri="{FF2B5EF4-FFF2-40B4-BE49-F238E27FC236}">
              <a16:creationId xmlns:a16="http://schemas.microsoft.com/office/drawing/2014/main" id="{A5F232C7-7CD5-4FEC-BDD4-A3B92409E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2" name="object1">
          <a:extLst>
            <a:ext uri="{FF2B5EF4-FFF2-40B4-BE49-F238E27FC236}">
              <a16:creationId xmlns:a16="http://schemas.microsoft.com/office/drawing/2014/main" id="{C817500F-74E5-4BFD-A8A0-F57BB1B8F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3" name="object2">
          <a:extLst>
            <a:ext uri="{FF2B5EF4-FFF2-40B4-BE49-F238E27FC236}">
              <a16:creationId xmlns:a16="http://schemas.microsoft.com/office/drawing/2014/main" id="{4AD8A068-D375-4E84-9AD9-AF641765B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4" name="object3">
          <a:extLst>
            <a:ext uri="{FF2B5EF4-FFF2-40B4-BE49-F238E27FC236}">
              <a16:creationId xmlns:a16="http://schemas.microsoft.com/office/drawing/2014/main" id="{B3F26A94-9A04-4647-B7D4-50C903B8C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5" name="object4">
          <a:extLst>
            <a:ext uri="{FF2B5EF4-FFF2-40B4-BE49-F238E27FC236}">
              <a16:creationId xmlns:a16="http://schemas.microsoft.com/office/drawing/2014/main" id="{72D0D3CE-14FB-4836-BC2B-C12A491A8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6" name="object5">
          <a:extLst>
            <a:ext uri="{FF2B5EF4-FFF2-40B4-BE49-F238E27FC236}">
              <a16:creationId xmlns:a16="http://schemas.microsoft.com/office/drawing/2014/main" id="{2FE4C426-417B-4FC2-AB3D-5E7A86204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7" name="object6">
          <a:extLst>
            <a:ext uri="{FF2B5EF4-FFF2-40B4-BE49-F238E27FC236}">
              <a16:creationId xmlns:a16="http://schemas.microsoft.com/office/drawing/2014/main" id="{D5963232-0593-43C8-B6BC-F358BE2D6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8" name="object7">
          <a:extLst>
            <a:ext uri="{FF2B5EF4-FFF2-40B4-BE49-F238E27FC236}">
              <a16:creationId xmlns:a16="http://schemas.microsoft.com/office/drawing/2014/main" id="{ABAC53F9-23B5-4478-B422-C0F401D1D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9" name="object8">
          <a:extLst>
            <a:ext uri="{FF2B5EF4-FFF2-40B4-BE49-F238E27FC236}">
              <a16:creationId xmlns:a16="http://schemas.microsoft.com/office/drawing/2014/main" id="{321840C8-0EA4-4E06-9F60-907F06163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0" name="object9">
          <a:extLst>
            <a:ext uri="{FF2B5EF4-FFF2-40B4-BE49-F238E27FC236}">
              <a16:creationId xmlns:a16="http://schemas.microsoft.com/office/drawing/2014/main" id="{77BAF007-8185-4536-A298-2D058637A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1" name="object10">
          <a:extLst>
            <a:ext uri="{FF2B5EF4-FFF2-40B4-BE49-F238E27FC236}">
              <a16:creationId xmlns:a16="http://schemas.microsoft.com/office/drawing/2014/main" id="{0EA16089-8100-403A-8777-78DB69E05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2" name="object11">
          <a:extLst>
            <a:ext uri="{FF2B5EF4-FFF2-40B4-BE49-F238E27FC236}">
              <a16:creationId xmlns:a16="http://schemas.microsoft.com/office/drawing/2014/main" id="{B74CE206-3099-44DB-B59E-1602DD1BB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3" name="object12">
          <a:extLst>
            <a:ext uri="{FF2B5EF4-FFF2-40B4-BE49-F238E27FC236}">
              <a16:creationId xmlns:a16="http://schemas.microsoft.com/office/drawing/2014/main" id="{F6A691F8-A3DF-4308-9B6E-A9007E30B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4" name="object13">
          <a:extLst>
            <a:ext uri="{FF2B5EF4-FFF2-40B4-BE49-F238E27FC236}">
              <a16:creationId xmlns:a16="http://schemas.microsoft.com/office/drawing/2014/main" id="{3B51BD8F-8391-4438-8F3C-103F01DCD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5" name="object14">
          <a:extLst>
            <a:ext uri="{FF2B5EF4-FFF2-40B4-BE49-F238E27FC236}">
              <a16:creationId xmlns:a16="http://schemas.microsoft.com/office/drawing/2014/main" id="{A0436BA5-05FF-42BB-BD3E-B83E7B5AD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6" name="object15">
          <a:extLst>
            <a:ext uri="{FF2B5EF4-FFF2-40B4-BE49-F238E27FC236}">
              <a16:creationId xmlns:a16="http://schemas.microsoft.com/office/drawing/2014/main" id="{F3F95CF2-C5E6-4433-AA33-D2736EFA6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7" name="object16">
          <a:extLst>
            <a:ext uri="{FF2B5EF4-FFF2-40B4-BE49-F238E27FC236}">
              <a16:creationId xmlns:a16="http://schemas.microsoft.com/office/drawing/2014/main" id="{99FB1446-EC36-4209-80B3-4F7FCD76E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8" name="object17">
          <a:extLst>
            <a:ext uri="{FF2B5EF4-FFF2-40B4-BE49-F238E27FC236}">
              <a16:creationId xmlns:a16="http://schemas.microsoft.com/office/drawing/2014/main" id="{6A487954-F201-4369-B9DA-3F79CA8EC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9" name="object18">
          <a:extLst>
            <a:ext uri="{FF2B5EF4-FFF2-40B4-BE49-F238E27FC236}">
              <a16:creationId xmlns:a16="http://schemas.microsoft.com/office/drawing/2014/main" id="{DD4F5209-6B33-4698-B958-1A7ED52CE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2" name="object1">
          <a:extLst>
            <a:ext uri="{FF2B5EF4-FFF2-40B4-BE49-F238E27FC236}">
              <a16:creationId xmlns:a16="http://schemas.microsoft.com/office/drawing/2014/main" id="{5C5EE24D-9B44-44AC-81AB-0B67AB7CB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3" name="object2">
          <a:extLst>
            <a:ext uri="{FF2B5EF4-FFF2-40B4-BE49-F238E27FC236}">
              <a16:creationId xmlns:a16="http://schemas.microsoft.com/office/drawing/2014/main" id="{F7A59ED4-FB86-43FC-BC33-80D3E8698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4" name="object3">
          <a:extLst>
            <a:ext uri="{FF2B5EF4-FFF2-40B4-BE49-F238E27FC236}">
              <a16:creationId xmlns:a16="http://schemas.microsoft.com/office/drawing/2014/main" id="{D12615DD-7F29-4CE9-BF8C-C74747B06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5" name="object4">
          <a:extLst>
            <a:ext uri="{FF2B5EF4-FFF2-40B4-BE49-F238E27FC236}">
              <a16:creationId xmlns:a16="http://schemas.microsoft.com/office/drawing/2014/main" id="{CF3F2CD1-C2D3-4672-816B-D178D7801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6" name="object5">
          <a:extLst>
            <a:ext uri="{FF2B5EF4-FFF2-40B4-BE49-F238E27FC236}">
              <a16:creationId xmlns:a16="http://schemas.microsoft.com/office/drawing/2014/main" id="{24551EFD-0016-4415-B98A-10F4C42E6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7" name="object6">
          <a:extLst>
            <a:ext uri="{FF2B5EF4-FFF2-40B4-BE49-F238E27FC236}">
              <a16:creationId xmlns:a16="http://schemas.microsoft.com/office/drawing/2014/main" id="{77BAFC4F-691E-4894-BE2D-DE1585934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8" name="object7">
          <a:extLst>
            <a:ext uri="{FF2B5EF4-FFF2-40B4-BE49-F238E27FC236}">
              <a16:creationId xmlns:a16="http://schemas.microsoft.com/office/drawing/2014/main" id="{BA84A669-A41F-4D89-84DD-2E61356CF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9" name="object8">
          <a:extLst>
            <a:ext uri="{FF2B5EF4-FFF2-40B4-BE49-F238E27FC236}">
              <a16:creationId xmlns:a16="http://schemas.microsoft.com/office/drawing/2014/main" id="{7AB9A05D-8B2B-4327-A025-A2D81CD7E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0" name="object9">
          <a:extLst>
            <a:ext uri="{FF2B5EF4-FFF2-40B4-BE49-F238E27FC236}">
              <a16:creationId xmlns:a16="http://schemas.microsoft.com/office/drawing/2014/main" id="{A9909284-DDC6-4FBB-8237-BB00168CA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1" name="object10">
          <a:extLst>
            <a:ext uri="{FF2B5EF4-FFF2-40B4-BE49-F238E27FC236}">
              <a16:creationId xmlns:a16="http://schemas.microsoft.com/office/drawing/2014/main" id="{3416DF00-8376-4E69-A2E7-F30D95CB6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2" name="object11">
          <a:extLst>
            <a:ext uri="{FF2B5EF4-FFF2-40B4-BE49-F238E27FC236}">
              <a16:creationId xmlns:a16="http://schemas.microsoft.com/office/drawing/2014/main" id="{9267DB62-6140-49AA-BCCA-52BF3C67B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3" name="object12">
          <a:extLst>
            <a:ext uri="{FF2B5EF4-FFF2-40B4-BE49-F238E27FC236}">
              <a16:creationId xmlns:a16="http://schemas.microsoft.com/office/drawing/2014/main" id="{3DCAEF7B-3944-4281-B08C-CD22F6D2D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4" name="object13">
          <a:extLst>
            <a:ext uri="{FF2B5EF4-FFF2-40B4-BE49-F238E27FC236}">
              <a16:creationId xmlns:a16="http://schemas.microsoft.com/office/drawing/2014/main" id="{EB3C5F7A-8B52-4789-BF87-84CBA1EE1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5" name="object14">
          <a:extLst>
            <a:ext uri="{FF2B5EF4-FFF2-40B4-BE49-F238E27FC236}">
              <a16:creationId xmlns:a16="http://schemas.microsoft.com/office/drawing/2014/main" id="{776C4FCA-C4A5-48C8-95A8-85245035A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6" name="object15">
          <a:extLst>
            <a:ext uri="{FF2B5EF4-FFF2-40B4-BE49-F238E27FC236}">
              <a16:creationId xmlns:a16="http://schemas.microsoft.com/office/drawing/2014/main" id="{D6CAD2D0-31FA-4411-8666-CEF38642E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7" name="object16">
          <a:extLst>
            <a:ext uri="{FF2B5EF4-FFF2-40B4-BE49-F238E27FC236}">
              <a16:creationId xmlns:a16="http://schemas.microsoft.com/office/drawing/2014/main" id="{2FDD408C-206E-44C9-AAA2-A178B356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8" name="object17">
          <a:extLst>
            <a:ext uri="{FF2B5EF4-FFF2-40B4-BE49-F238E27FC236}">
              <a16:creationId xmlns:a16="http://schemas.microsoft.com/office/drawing/2014/main" id="{3E4F928F-4DE3-4C08-87C7-5D43851C9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9" name="object18">
          <a:extLst>
            <a:ext uri="{FF2B5EF4-FFF2-40B4-BE49-F238E27FC236}">
              <a16:creationId xmlns:a16="http://schemas.microsoft.com/office/drawing/2014/main" id="{49EB6C7F-E7A9-4F6E-BAE3-85EB0E263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2" name="object1">
          <a:extLst>
            <a:ext uri="{FF2B5EF4-FFF2-40B4-BE49-F238E27FC236}">
              <a16:creationId xmlns:a16="http://schemas.microsoft.com/office/drawing/2014/main" id="{50126A35-8745-4BD8-81E1-B78C58567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3" name="object2">
          <a:extLst>
            <a:ext uri="{FF2B5EF4-FFF2-40B4-BE49-F238E27FC236}">
              <a16:creationId xmlns:a16="http://schemas.microsoft.com/office/drawing/2014/main" id="{AB4A931A-6EE5-4F73-99F5-0202302E8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4" name="object3">
          <a:extLst>
            <a:ext uri="{FF2B5EF4-FFF2-40B4-BE49-F238E27FC236}">
              <a16:creationId xmlns:a16="http://schemas.microsoft.com/office/drawing/2014/main" id="{57CE73A7-BF68-4DA7-881B-066AEEB1A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5" name="object4">
          <a:extLst>
            <a:ext uri="{FF2B5EF4-FFF2-40B4-BE49-F238E27FC236}">
              <a16:creationId xmlns:a16="http://schemas.microsoft.com/office/drawing/2014/main" id="{700CFA02-9A96-45A3-A650-A78D17B19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6" name="object5">
          <a:extLst>
            <a:ext uri="{FF2B5EF4-FFF2-40B4-BE49-F238E27FC236}">
              <a16:creationId xmlns:a16="http://schemas.microsoft.com/office/drawing/2014/main" id="{E13E7104-1B6C-4F2F-AC94-FCF5A811E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7" name="object6">
          <a:extLst>
            <a:ext uri="{FF2B5EF4-FFF2-40B4-BE49-F238E27FC236}">
              <a16:creationId xmlns:a16="http://schemas.microsoft.com/office/drawing/2014/main" id="{E0225EFF-DEED-45E0-8927-DD414489E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8" name="object7">
          <a:extLst>
            <a:ext uri="{FF2B5EF4-FFF2-40B4-BE49-F238E27FC236}">
              <a16:creationId xmlns:a16="http://schemas.microsoft.com/office/drawing/2014/main" id="{DC40B007-7249-4532-B848-F1809CF22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9" name="object8">
          <a:extLst>
            <a:ext uri="{FF2B5EF4-FFF2-40B4-BE49-F238E27FC236}">
              <a16:creationId xmlns:a16="http://schemas.microsoft.com/office/drawing/2014/main" id="{40F1261D-684E-4C51-A5AB-580BE7965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0" name="object9">
          <a:extLst>
            <a:ext uri="{FF2B5EF4-FFF2-40B4-BE49-F238E27FC236}">
              <a16:creationId xmlns:a16="http://schemas.microsoft.com/office/drawing/2014/main" id="{64C38ED7-A871-4324-BDA7-B4ED5CABB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1" name="object10">
          <a:extLst>
            <a:ext uri="{FF2B5EF4-FFF2-40B4-BE49-F238E27FC236}">
              <a16:creationId xmlns:a16="http://schemas.microsoft.com/office/drawing/2014/main" id="{22C2011B-5862-4200-9DFA-D79BED775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2" name="object11">
          <a:extLst>
            <a:ext uri="{FF2B5EF4-FFF2-40B4-BE49-F238E27FC236}">
              <a16:creationId xmlns:a16="http://schemas.microsoft.com/office/drawing/2014/main" id="{8129DE93-27EF-4088-B369-93A45DA39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3" name="object12">
          <a:extLst>
            <a:ext uri="{FF2B5EF4-FFF2-40B4-BE49-F238E27FC236}">
              <a16:creationId xmlns:a16="http://schemas.microsoft.com/office/drawing/2014/main" id="{7DEBF22A-41D6-48AF-92E0-EF165DEBD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4" name="object13">
          <a:extLst>
            <a:ext uri="{FF2B5EF4-FFF2-40B4-BE49-F238E27FC236}">
              <a16:creationId xmlns:a16="http://schemas.microsoft.com/office/drawing/2014/main" id="{0CF7D5F4-E002-461C-9D5D-E5A27D509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5" name="object14">
          <a:extLst>
            <a:ext uri="{FF2B5EF4-FFF2-40B4-BE49-F238E27FC236}">
              <a16:creationId xmlns:a16="http://schemas.microsoft.com/office/drawing/2014/main" id="{44DC01D7-799A-4172-AC30-79FE5CB24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6" name="object15">
          <a:extLst>
            <a:ext uri="{FF2B5EF4-FFF2-40B4-BE49-F238E27FC236}">
              <a16:creationId xmlns:a16="http://schemas.microsoft.com/office/drawing/2014/main" id="{A75D8467-A96C-477D-89C1-81C1B22D4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7" name="object16">
          <a:extLst>
            <a:ext uri="{FF2B5EF4-FFF2-40B4-BE49-F238E27FC236}">
              <a16:creationId xmlns:a16="http://schemas.microsoft.com/office/drawing/2014/main" id="{5CC44F33-329E-41FB-B707-BA47FF458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8" name="object17">
          <a:extLst>
            <a:ext uri="{FF2B5EF4-FFF2-40B4-BE49-F238E27FC236}">
              <a16:creationId xmlns:a16="http://schemas.microsoft.com/office/drawing/2014/main" id="{2E9A6974-05EA-4AED-8B5E-E08013180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9" name="object18">
          <a:extLst>
            <a:ext uri="{FF2B5EF4-FFF2-40B4-BE49-F238E27FC236}">
              <a16:creationId xmlns:a16="http://schemas.microsoft.com/office/drawing/2014/main" id="{2DBE5A3D-2F31-4FB8-AFD4-539425AA3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2" name="object1">
          <a:extLst>
            <a:ext uri="{FF2B5EF4-FFF2-40B4-BE49-F238E27FC236}">
              <a16:creationId xmlns:a16="http://schemas.microsoft.com/office/drawing/2014/main" id="{BFDF80AE-2206-4FB2-B52E-83222AD6B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3" name="object2">
          <a:extLst>
            <a:ext uri="{FF2B5EF4-FFF2-40B4-BE49-F238E27FC236}">
              <a16:creationId xmlns:a16="http://schemas.microsoft.com/office/drawing/2014/main" id="{1CD7C726-8A6A-458B-BDFF-66FB191E8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4" name="object3">
          <a:extLst>
            <a:ext uri="{FF2B5EF4-FFF2-40B4-BE49-F238E27FC236}">
              <a16:creationId xmlns:a16="http://schemas.microsoft.com/office/drawing/2014/main" id="{D03CCD44-C990-4C50-8B26-221C346A4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5" name="object4">
          <a:extLst>
            <a:ext uri="{FF2B5EF4-FFF2-40B4-BE49-F238E27FC236}">
              <a16:creationId xmlns:a16="http://schemas.microsoft.com/office/drawing/2014/main" id="{CDC121C7-6C9E-4DF1-90C3-41727124A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6" name="object5">
          <a:extLst>
            <a:ext uri="{FF2B5EF4-FFF2-40B4-BE49-F238E27FC236}">
              <a16:creationId xmlns:a16="http://schemas.microsoft.com/office/drawing/2014/main" id="{8FF6C0A9-83A0-495F-A111-5F751A04C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7" name="object6">
          <a:extLst>
            <a:ext uri="{FF2B5EF4-FFF2-40B4-BE49-F238E27FC236}">
              <a16:creationId xmlns:a16="http://schemas.microsoft.com/office/drawing/2014/main" id="{01FCB94C-AB4E-4965-9845-B07EAA0A3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8" name="object7">
          <a:extLst>
            <a:ext uri="{FF2B5EF4-FFF2-40B4-BE49-F238E27FC236}">
              <a16:creationId xmlns:a16="http://schemas.microsoft.com/office/drawing/2014/main" id="{3006FEE8-9636-43DA-B9C3-7A127EB23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9" name="object8">
          <a:extLst>
            <a:ext uri="{FF2B5EF4-FFF2-40B4-BE49-F238E27FC236}">
              <a16:creationId xmlns:a16="http://schemas.microsoft.com/office/drawing/2014/main" id="{D8F55A85-687A-43E9-9C11-45CFA58E6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0" name="object9">
          <a:extLst>
            <a:ext uri="{FF2B5EF4-FFF2-40B4-BE49-F238E27FC236}">
              <a16:creationId xmlns:a16="http://schemas.microsoft.com/office/drawing/2014/main" id="{49917E76-61C0-431A-A438-0CC1FE11F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1" name="object10">
          <a:extLst>
            <a:ext uri="{FF2B5EF4-FFF2-40B4-BE49-F238E27FC236}">
              <a16:creationId xmlns:a16="http://schemas.microsoft.com/office/drawing/2014/main" id="{97E2D5CF-0E29-4B49-96A1-183A971C3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2" name="object11">
          <a:extLst>
            <a:ext uri="{FF2B5EF4-FFF2-40B4-BE49-F238E27FC236}">
              <a16:creationId xmlns:a16="http://schemas.microsoft.com/office/drawing/2014/main" id="{3BACCE42-6AC9-403B-8CE3-2B774D87A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3" name="object12">
          <a:extLst>
            <a:ext uri="{FF2B5EF4-FFF2-40B4-BE49-F238E27FC236}">
              <a16:creationId xmlns:a16="http://schemas.microsoft.com/office/drawing/2014/main" id="{3A5DBBBF-9166-48FD-B1F5-BB8D5B857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4" name="object13">
          <a:extLst>
            <a:ext uri="{FF2B5EF4-FFF2-40B4-BE49-F238E27FC236}">
              <a16:creationId xmlns:a16="http://schemas.microsoft.com/office/drawing/2014/main" id="{56EABDC6-17F2-498B-8B91-7C0016BA4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5" name="object14">
          <a:extLst>
            <a:ext uri="{FF2B5EF4-FFF2-40B4-BE49-F238E27FC236}">
              <a16:creationId xmlns:a16="http://schemas.microsoft.com/office/drawing/2014/main" id="{44DC6D5D-D4CC-497F-BDE7-568E3B68F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6" name="object15">
          <a:extLst>
            <a:ext uri="{FF2B5EF4-FFF2-40B4-BE49-F238E27FC236}">
              <a16:creationId xmlns:a16="http://schemas.microsoft.com/office/drawing/2014/main" id="{53635C35-D3A1-4093-9ECF-926D69CFB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7" name="object16">
          <a:extLst>
            <a:ext uri="{FF2B5EF4-FFF2-40B4-BE49-F238E27FC236}">
              <a16:creationId xmlns:a16="http://schemas.microsoft.com/office/drawing/2014/main" id="{B5DAEB36-7734-4991-B44A-B3A288D51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8" name="object17">
          <a:extLst>
            <a:ext uri="{FF2B5EF4-FFF2-40B4-BE49-F238E27FC236}">
              <a16:creationId xmlns:a16="http://schemas.microsoft.com/office/drawing/2014/main" id="{F280D1C3-2FDD-4590-843B-ADD4C03CA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</xdr:row>
      <xdr:rowOff>9525</xdr:rowOff>
    </xdr:from>
    <xdr:to>
      <xdr:col>0</xdr:col>
      <xdr:colOff>419100</xdr:colOff>
      <xdr:row>5</xdr:row>
      <xdr:rowOff>0</xdr:rowOff>
    </xdr:to>
    <xdr:pic>
      <xdr:nvPicPr>
        <xdr:cNvPr id="19" name="object18">
          <a:extLst>
            <a:ext uri="{FF2B5EF4-FFF2-40B4-BE49-F238E27FC236}">
              <a16:creationId xmlns:a16="http://schemas.microsoft.com/office/drawing/2014/main" id="{8B5DD36A-7DE4-4465-92D3-0387C354A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38150"/>
          <a:ext cx="409575" cy="6286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E76CAF1-4666-4902-9598-13B82F92524B}" name="표2_47" displayName="표2_47" ref="B2:G5" totalsRowShown="0" headerRowDxfId="41" dataDxfId="40">
  <autoFilter ref="B2:G5" xr:uid="{CE76CAF1-4666-4902-9598-13B82F92524B}"/>
  <tableColumns count="6">
    <tableColumn id="1" xr3:uid="{0E536E5A-642C-4E32-9C6A-08B2058BB696}" name="편성" dataDxfId="39"/>
    <tableColumn id="2" xr3:uid="{830C48B8-665F-4012-A7DF-A63A753CEE15}" name="1분기" dataDxfId="38"/>
    <tableColumn id="3" xr3:uid="{8D8C0BDA-C43B-475B-921E-CDDE0557393C}" name="2분기" dataDxfId="37"/>
    <tableColumn id="4" xr3:uid="{ECECB46B-C211-45C1-8674-C2C165689400}" name="3분기" dataDxfId="36"/>
    <tableColumn id="5" xr3:uid="{071EE945-0992-4499-B5AD-BAB84B3B6DDC}" name="4분기" dataDxfId="35"/>
    <tableColumn id="6" xr3:uid="{19EAA904-2B70-495F-B5B0-9013E9D3D17E}" name="합계" dataDxfId="34">
      <calculatedColumnFormula>SUM(C3:F3)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60AA0F3-8CD2-476E-AF2F-63A8074B7532}" name="표2_438" displayName="표2_438" ref="B9:G12" totalsRowShown="0" headerRowDxfId="33" dataDxfId="32">
  <autoFilter ref="B9:G12" xr:uid="{F60AA0F3-8CD2-476E-AF2F-63A8074B7532}"/>
  <tableColumns count="6">
    <tableColumn id="1" xr3:uid="{D8F71989-99CD-4348-95FC-FAE9FD6A97F0}" name="편성" dataDxfId="31"/>
    <tableColumn id="2" xr3:uid="{38E4EDE0-F00B-496F-ABEC-0B5774999F40}" name="1분기" dataDxfId="30">
      <calculatedColumnFormula>'[2]2022.1'!AH36+'[2]2022.2'!AH36+'[2]2022.3'!AH36</calculatedColumnFormula>
    </tableColumn>
    <tableColumn id="3" xr3:uid="{78615B23-774A-49AD-BDD5-279B7342B810}" name="2분기" dataDxfId="29">
      <calculatedColumnFormula>'[2]2022.4'!AH36+'[2]2022.5'!AH36+'[2]2022.6'!AH36</calculatedColumnFormula>
    </tableColumn>
    <tableColumn id="4" xr3:uid="{841AF450-2E18-437A-B190-CF48940972C2}" name="3분기" dataDxfId="28">
      <calculatedColumnFormula>'[2]2022.7'!AH36+'[2]2022.8'!AH36+'[2]2022.9'!AH36</calculatedColumnFormula>
    </tableColumn>
    <tableColumn id="5" xr3:uid="{A3B034D8-1729-4825-8BA2-E5C51683FB0A}" name="4분기" dataDxfId="27">
      <calculatedColumnFormula>'[2]2022.10'!AH36+'[2]2022.11'!AH36+'[2]2022.12'!AH36</calculatedColumnFormula>
    </tableColumn>
    <tableColumn id="6" xr3:uid="{4B17AA38-59BC-43BD-AC0E-54BB8256768B}" name="합계" dataDxfId="26">
      <calculatedColumnFormula>SUM(C10:F10)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52A5976-FF6E-4A4A-A3C7-3A5B5D7C3ADE}" name="표2_4389" displayName="표2_4389" ref="B16:G19" totalsRowShown="0" headerRowDxfId="25" dataDxfId="24">
  <autoFilter ref="B16:G19" xr:uid="{852A5976-FF6E-4A4A-A3C7-3A5B5D7C3ADE}"/>
  <tableColumns count="6">
    <tableColumn id="1" xr3:uid="{E33A5878-F162-40BF-ABE2-68F6B819EB6C}" name="편성" dataDxfId="23"/>
    <tableColumn id="2" xr3:uid="{C22D7553-6480-4322-8E25-7ADBD3411940}" name="1분기" dataDxfId="22">
      <calculatedColumnFormula>'[2]2022.1'!AH43+'[2]2022.2'!AH43+'[2]2022.3'!AH43</calculatedColumnFormula>
    </tableColumn>
    <tableColumn id="3" xr3:uid="{205EFB9B-BBB0-4A8B-8A5F-FEA064A3CEA6}" name="2분기" dataDxfId="21">
      <calculatedColumnFormula>'2026.4.'!AH29+'2026.5.'!AH29+'2026.6.'!AH29</calculatedColumnFormula>
    </tableColumn>
    <tableColumn id="4" xr3:uid="{0FA86C0E-8E76-4885-A3B6-B81BC4451905}" name="3분기" dataDxfId="20">
      <calculatedColumnFormula>'[2]2022.7'!AH43+'[2]2022.8'!AH43+'[2]2022.9'!AH43</calculatedColumnFormula>
    </tableColumn>
    <tableColumn id="5" xr3:uid="{AAF6ADA3-36F2-40F1-9FE7-DFB03CE98CA6}" name="4분기" dataDxfId="19">
      <calculatedColumnFormula>'[2]2022.10'!AH43+'[2]2022.11'!AH43+'[2]2022.12'!AH43</calculatedColumnFormula>
    </tableColumn>
    <tableColumn id="6" xr3:uid="{CA80D91F-CD69-4E89-AECB-C6B01D5E945C}" name="합계" dataDxfId="18">
      <calculatedColumnFormula>SUM(C17:F17)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E6998-4B22-41E8-A8A0-F769A3067317}">
  <dimension ref="A1:I26"/>
  <sheetViews>
    <sheetView workbookViewId="0">
      <selection activeCell="K15" sqref="K15"/>
    </sheetView>
  </sheetViews>
  <sheetFormatPr defaultRowHeight="16.5" x14ac:dyDescent="0.3"/>
  <cols>
    <col min="2" max="2" width="17.25" bestFit="1" customWidth="1"/>
    <col min="3" max="3" width="11.125" bestFit="1" customWidth="1"/>
    <col min="4" max="4" width="7.125" bestFit="1" customWidth="1"/>
    <col min="7" max="8" width="11.125" bestFit="1" customWidth="1"/>
  </cols>
  <sheetData>
    <row r="1" spans="1:9" x14ac:dyDescent="0.3">
      <c r="A1" s="15"/>
      <c r="B1" s="15" t="s">
        <v>139</v>
      </c>
      <c r="C1" s="15"/>
      <c r="D1" s="15"/>
      <c r="F1" t="s">
        <v>140</v>
      </c>
    </row>
    <row r="2" spans="1:9" x14ac:dyDescent="0.3">
      <c r="A2" s="90">
        <v>2026</v>
      </c>
      <c r="B2" s="15" t="s">
        <v>54</v>
      </c>
      <c r="C2" s="38">
        <v>46023</v>
      </c>
      <c r="D2" s="244">
        <v>46023</v>
      </c>
      <c r="F2" s="37" t="s">
        <v>14</v>
      </c>
      <c r="G2" s="37" t="s">
        <v>51</v>
      </c>
      <c r="H2" s="37" t="s">
        <v>52</v>
      </c>
      <c r="I2" s="37" t="s">
        <v>53</v>
      </c>
    </row>
    <row r="3" spans="1:9" x14ac:dyDescent="0.3">
      <c r="A3" s="15"/>
      <c r="B3" s="15" t="s">
        <v>55</v>
      </c>
      <c r="C3" s="38">
        <v>46069</v>
      </c>
      <c r="D3" s="244">
        <v>46069</v>
      </c>
      <c r="F3" s="39">
        <v>114</v>
      </c>
      <c r="G3" s="38">
        <v>46010</v>
      </c>
      <c r="H3" s="38">
        <v>46057</v>
      </c>
      <c r="I3" s="40">
        <v>32</v>
      </c>
    </row>
    <row r="4" spans="1:9" x14ac:dyDescent="0.3">
      <c r="A4" s="15"/>
      <c r="B4" s="15" t="s">
        <v>56</v>
      </c>
      <c r="C4" s="38">
        <v>46070</v>
      </c>
      <c r="D4" s="244">
        <v>46070</v>
      </c>
      <c r="F4" s="39">
        <v>115</v>
      </c>
      <c r="G4" s="38">
        <v>46062</v>
      </c>
      <c r="H4" s="38">
        <v>46111</v>
      </c>
      <c r="I4" s="40">
        <v>32</v>
      </c>
    </row>
    <row r="5" spans="1:9" x14ac:dyDescent="0.3">
      <c r="A5" s="15"/>
      <c r="B5" s="15" t="s">
        <v>55</v>
      </c>
      <c r="C5" s="38">
        <v>46071</v>
      </c>
      <c r="D5" s="244">
        <v>46071</v>
      </c>
      <c r="F5" s="39">
        <v>116</v>
      </c>
      <c r="G5" s="38">
        <v>46114</v>
      </c>
      <c r="H5" s="38">
        <v>46162</v>
      </c>
      <c r="I5" s="40">
        <v>32</v>
      </c>
    </row>
    <row r="6" spans="1:9" x14ac:dyDescent="0.3">
      <c r="A6" s="15"/>
      <c r="B6" s="15" t="s">
        <v>57</v>
      </c>
      <c r="C6" s="38">
        <v>46082</v>
      </c>
      <c r="D6" s="244">
        <v>46082</v>
      </c>
      <c r="F6" s="39">
        <v>117</v>
      </c>
      <c r="G6" s="38">
        <v>46169</v>
      </c>
      <c r="H6" s="38">
        <v>46213</v>
      </c>
      <c r="I6" s="40">
        <v>32</v>
      </c>
    </row>
    <row r="7" spans="1:9" x14ac:dyDescent="0.3">
      <c r="A7" s="15"/>
      <c r="B7" s="15" t="s">
        <v>60</v>
      </c>
      <c r="C7" s="38">
        <v>46083</v>
      </c>
      <c r="D7" s="244">
        <v>46083</v>
      </c>
      <c r="F7" s="39">
        <v>118</v>
      </c>
      <c r="G7" s="38">
        <v>46218</v>
      </c>
      <c r="H7" s="38">
        <v>46265</v>
      </c>
      <c r="I7" s="40">
        <v>32</v>
      </c>
    </row>
    <row r="8" spans="1:9" x14ac:dyDescent="0.3">
      <c r="A8" s="15"/>
      <c r="B8" s="15" t="s">
        <v>58</v>
      </c>
      <c r="C8" s="38">
        <v>46143</v>
      </c>
      <c r="D8" s="244">
        <v>46143</v>
      </c>
      <c r="F8" s="39">
        <v>119</v>
      </c>
      <c r="G8" s="38">
        <v>46268</v>
      </c>
      <c r="H8" s="38">
        <v>46318</v>
      </c>
      <c r="I8" s="40">
        <v>32</v>
      </c>
    </row>
    <row r="9" spans="1:9" x14ac:dyDescent="0.3">
      <c r="A9" s="15"/>
      <c r="B9" s="15" t="s">
        <v>59</v>
      </c>
      <c r="C9" s="38">
        <v>46147</v>
      </c>
      <c r="D9" s="244">
        <v>46147</v>
      </c>
      <c r="F9" s="39">
        <v>120</v>
      </c>
      <c r="G9" s="38">
        <v>46323</v>
      </c>
      <c r="H9" s="38">
        <v>46366</v>
      </c>
      <c r="I9" s="40">
        <v>32</v>
      </c>
    </row>
    <row r="10" spans="1:9" x14ac:dyDescent="0.3">
      <c r="A10" s="15"/>
      <c r="B10" s="15" t="s">
        <v>62</v>
      </c>
      <c r="C10" s="38">
        <v>46160</v>
      </c>
      <c r="D10" s="244">
        <v>46160</v>
      </c>
      <c r="F10" s="39">
        <v>121</v>
      </c>
      <c r="G10" s="38">
        <v>46371</v>
      </c>
      <c r="H10" s="38">
        <v>46416</v>
      </c>
      <c r="I10" s="40">
        <v>32</v>
      </c>
    </row>
    <row r="11" spans="1:9" x14ac:dyDescent="0.3">
      <c r="A11" s="15"/>
      <c r="B11" s="15" t="s">
        <v>61</v>
      </c>
      <c r="C11" s="38">
        <v>46166</v>
      </c>
      <c r="D11" s="244">
        <v>46166</v>
      </c>
      <c r="F11" s="39"/>
      <c r="G11" s="38"/>
      <c r="H11" s="38"/>
      <c r="I11" s="40"/>
    </row>
    <row r="12" spans="1:9" x14ac:dyDescent="0.3">
      <c r="A12" s="15"/>
      <c r="B12" s="349" t="s">
        <v>141</v>
      </c>
      <c r="C12" s="350">
        <v>46167</v>
      </c>
      <c r="D12" s="104">
        <v>46167</v>
      </c>
      <c r="F12" s="95"/>
    </row>
    <row r="13" spans="1:9" x14ac:dyDescent="0.3">
      <c r="A13" s="15"/>
      <c r="B13" s="15" t="s">
        <v>63</v>
      </c>
      <c r="C13" s="38">
        <v>46171</v>
      </c>
      <c r="D13" s="244">
        <v>46171</v>
      </c>
      <c r="F13" s="37"/>
      <c r="G13" s="37"/>
      <c r="H13" s="37"/>
      <c r="I13" s="37"/>
    </row>
    <row r="14" spans="1:9" x14ac:dyDescent="0.3">
      <c r="A14" s="91" t="s">
        <v>138</v>
      </c>
      <c r="B14" s="111" t="s">
        <v>143</v>
      </c>
      <c r="C14" s="49">
        <v>46176</v>
      </c>
      <c r="D14" s="50">
        <v>46176</v>
      </c>
      <c r="F14" s="39"/>
      <c r="G14" s="38"/>
      <c r="H14" s="40"/>
      <c r="I14" s="96"/>
    </row>
    <row r="15" spans="1:9" x14ac:dyDescent="0.3">
      <c r="A15" s="15"/>
      <c r="B15" s="15" t="s">
        <v>64</v>
      </c>
      <c r="C15" s="38">
        <v>46179</v>
      </c>
      <c r="D15" s="244">
        <v>46179</v>
      </c>
      <c r="F15" s="39"/>
      <c r="G15" s="38"/>
      <c r="H15" s="40"/>
      <c r="I15" s="96"/>
    </row>
    <row r="16" spans="1:9" x14ac:dyDescent="0.3">
      <c r="A16" s="111" t="s">
        <v>189</v>
      </c>
      <c r="B16" s="111" t="s">
        <v>188</v>
      </c>
      <c r="C16" s="49">
        <v>46220</v>
      </c>
      <c r="D16" s="50">
        <f>C16</f>
        <v>46220</v>
      </c>
      <c r="F16" s="39"/>
      <c r="G16" s="38"/>
      <c r="H16" s="40"/>
      <c r="I16" s="96"/>
    </row>
    <row r="17" spans="1:9" x14ac:dyDescent="0.3">
      <c r="A17" s="15"/>
      <c r="B17" s="15" t="s">
        <v>65</v>
      </c>
      <c r="C17" s="38">
        <v>46249</v>
      </c>
      <c r="D17" s="244">
        <v>46249</v>
      </c>
      <c r="F17" s="39"/>
      <c r="G17" s="38"/>
      <c r="H17" s="40"/>
      <c r="I17" s="96"/>
    </row>
    <row r="18" spans="1:9" x14ac:dyDescent="0.3">
      <c r="A18" s="15"/>
      <c r="B18" s="15" t="s">
        <v>60</v>
      </c>
      <c r="C18" s="38">
        <v>46251</v>
      </c>
      <c r="D18" s="244">
        <v>46251</v>
      </c>
      <c r="F18" s="39"/>
      <c r="G18" s="38"/>
      <c r="H18" s="40"/>
      <c r="I18" s="96"/>
    </row>
    <row r="19" spans="1:9" x14ac:dyDescent="0.3">
      <c r="A19" s="15"/>
      <c r="B19" s="15" t="s">
        <v>66</v>
      </c>
      <c r="C19" s="38">
        <v>46289</v>
      </c>
      <c r="D19" s="244">
        <v>46289</v>
      </c>
      <c r="F19" s="39"/>
      <c r="G19" s="38"/>
      <c r="H19" s="40"/>
      <c r="I19" s="96"/>
    </row>
    <row r="20" spans="1:9" x14ac:dyDescent="0.3">
      <c r="A20" s="15"/>
      <c r="B20" s="15" t="s">
        <v>67</v>
      </c>
      <c r="C20" s="38">
        <v>46290</v>
      </c>
      <c r="D20" s="244">
        <v>46290</v>
      </c>
      <c r="F20" s="39"/>
      <c r="G20" s="38"/>
      <c r="H20" s="40"/>
      <c r="I20" s="96"/>
    </row>
    <row r="21" spans="1:9" x14ac:dyDescent="0.3">
      <c r="A21" s="15"/>
      <c r="B21" s="15" t="s">
        <v>66</v>
      </c>
      <c r="C21" s="38">
        <v>46291</v>
      </c>
      <c r="D21" s="244">
        <v>46291</v>
      </c>
      <c r="F21" s="39"/>
      <c r="G21" s="38"/>
      <c r="H21" s="40"/>
      <c r="I21" s="96"/>
    </row>
    <row r="22" spans="1:9" x14ac:dyDescent="0.3">
      <c r="A22" s="15"/>
      <c r="B22" s="15" t="s">
        <v>68</v>
      </c>
      <c r="C22" s="38">
        <v>46298</v>
      </c>
      <c r="D22" s="244">
        <v>46298</v>
      </c>
      <c r="F22" s="39"/>
      <c r="G22" s="38"/>
      <c r="H22" s="40"/>
      <c r="I22" s="96"/>
    </row>
    <row r="23" spans="1:9" x14ac:dyDescent="0.3">
      <c r="A23" s="15"/>
      <c r="B23" s="15" t="s">
        <v>60</v>
      </c>
      <c r="C23" s="38">
        <v>46300</v>
      </c>
      <c r="D23" s="244">
        <v>46300</v>
      </c>
    </row>
    <row r="24" spans="1:9" x14ac:dyDescent="0.3">
      <c r="A24" s="15"/>
      <c r="B24" s="15" t="s">
        <v>69</v>
      </c>
      <c r="C24" s="38">
        <v>46304</v>
      </c>
      <c r="D24" s="244">
        <v>46304</v>
      </c>
    </row>
    <row r="25" spans="1:9" x14ac:dyDescent="0.3">
      <c r="A25" s="15"/>
      <c r="B25" s="15" t="s">
        <v>70</v>
      </c>
      <c r="C25" s="38">
        <v>46311</v>
      </c>
      <c r="D25" s="244">
        <v>46311</v>
      </c>
    </row>
    <row r="26" spans="1:9" x14ac:dyDescent="0.3">
      <c r="A26" s="15"/>
      <c r="B26" s="15" t="s">
        <v>71</v>
      </c>
      <c r="C26" s="38">
        <v>46381</v>
      </c>
      <c r="D26" s="244">
        <v>46381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7D849-530D-4E63-953F-24B67F9FCCAC}">
  <dimension ref="A1:AM38"/>
  <sheetViews>
    <sheetView zoomScaleNormal="100" workbookViewId="0">
      <pane ySplit="5" topLeftCell="A21" activePane="bottomLeft" state="frozen"/>
      <selection pane="bottomLeft" activeCell="AQ31" sqref="AQ31"/>
    </sheetView>
  </sheetViews>
  <sheetFormatPr defaultRowHeight="16.5" x14ac:dyDescent="0.3"/>
  <cols>
    <col min="1" max="1" width="9.125" bestFit="1" customWidth="1"/>
    <col min="2" max="31" width="3.75" customWidth="1"/>
    <col min="32" max="32" width="3.25" bestFit="1" customWidth="1"/>
    <col min="33" max="35" width="3.75" customWidth="1"/>
    <col min="36" max="36" width="12.5" hidden="1" customWidth="1"/>
    <col min="37" max="38" width="11.25" hidden="1" customWidth="1"/>
    <col min="39" max="40" width="0" hidden="1" customWidth="1"/>
  </cols>
  <sheetData>
    <row r="1" spans="1:39" x14ac:dyDescent="0.3">
      <c r="A1" s="264" t="s">
        <v>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92"/>
      <c r="AK1" s="1"/>
      <c r="AL1" s="1"/>
    </row>
    <row r="2" spans="1:39" ht="17.25" thickBot="1" x14ac:dyDescent="0.35">
      <c r="A2" s="266" t="s">
        <v>142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7"/>
      <c r="AD2" s="267"/>
      <c r="AE2" s="267"/>
      <c r="AF2" s="267"/>
      <c r="AG2" s="266"/>
      <c r="AH2" s="266"/>
      <c r="AI2" s="266"/>
      <c r="AJ2" s="93"/>
      <c r="AK2" s="1"/>
      <c r="AL2" s="1"/>
    </row>
    <row r="3" spans="1:39" ht="17.25" thickTop="1" x14ac:dyDescent="0.3">
      <c r="A3" s="268" t="s">
        <v>1</v>
      </c>
      <c r="B3" s="270">
        <v>46023</v>
      </c>
      <c r="C3" s="260">
        <v>46024</v>
      </c>
      <c r="D3" s="260">
        <v>46025</v>
      </c>
      <c r="E3" s="260">
        <v>46026</v>
      </c>
      <c r="F3" s="260">
        <v>46027</v>
      </c>
      <c r="G3" s="260">
        <v>46028</v>
      </c>
      <c r="H3" s="260">
        <v>46029</v>
      </c>
      <c r="I3" s="260">
        <v>46030</v>
      </c>
      <c r="J3" s="260">
        <v>46031</v>
      </c>
      <c r="K3" s="260">
        <v>46032</v>
      </c>
      <c r="L3" s="260">
        <v>46033</v>
      </c>
      <c r="M3" s="260">
        <v>46034</v>
      </c>
      <c r="N3" s="260">
        <v>46035</v>
      </c>
      <c r="O3" s="260">
        <v>46036</v>
      </c>
      <c r="P3" s="260">
        <v>46037</v>
      </c>
      <c r="Q3" s="260">
        <v>46038</v>
      </c>
      <c r="R3" s="260">
        <v>46039</v>
      </c>
      <c r="S3" s="260">
        <v>46040</v>
      </c>
      <c r="T3" s="260">
        <v>46041</v>
      </c>
      <c r="U3" s="260">
        <v>46042</v>
      </c>
      <c r="V3" s="260">
        <v>46043</v>
      </c>
      <c r="W3" s="260">
        <v>46044</v>
      </c>
      <c r="X3" s="260">
        <v>46045</v>
      </c>
      <c r="Y3" s="260">
        <v>46046</v>
      </c>
      <c r="Z3" s="260">
        <v>46047</v>
      </c>
      <c r="AA3" s="260">
        <v>46048</v>
      </c>
      <c r="AB3" s="260">
        <v>46049</v>
      </c>
      <c r="AC3" s="260">
        <v>46050</v>
      </c>
      <c r="AD3" s="260">
        <v>46051</v>
      </c>
      <c r="AE3" s="260">
        <v>46052</v>
      </c>
      <c r="AF3" s="262">
        <v>46053</v>
      </c>
      <c r="AG3" s="256" t="s">
        <v>2</v>
      </c>
      <c r="AH3" s="256"/>
      <c r="AI3" s="257"/>
      <c r="AJ3" s="2"/>
      <c r="AK3" s="1"/>
      <c r="AL3" s="1"/>
    </row>
    <row r="4" spans="1:39" x14ac:dyDescent="0.3">
      <c r="A4" s="269"/>
      <c r="B4" s="27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1"/>
      <c r="X4" s="261"/>
      <c r="Y4" s="261"/>
      <c r="Z4" s="261"/>
      <c r="AA4" s="261"/>
      <c r="AB4" s="261"/>
      <c r="AC4" s="261"/>
      <c r="AD4" s="261"/>
      <c r="AE4" s="261"/>
      <c r="AF4" s="263"/>
      <c r="AG4" s="258"/>
      <c r="AH4" s="258"/>
      <c r="AI4" s="259"/>
      <c r="AJ4" s="2"/>
      <c r="AK4" s="1"/>
      <c r="AL4" s="1"/>
    </row>
    <row r="5" spans="1:39" ht="17.25" thickBot="1" x14ac:dyDescent="0.35">
      <c r="A5" s="66" t="s">
        <v>3</v>
      </c>
      <c r="B5" s="67">
        <v>46023</v>
      </c>
      <c r="C5" s="43">
        <v>46024</v>
      </c>
      <c r="D5" s="43">
        <v>46025</v>
      </c>
      <c r="E5" s="43">
        <v>46026</v>
      </c>
      <c r="F5" s="43">
        <v>46027</v>
      </c>
      <c r="G5" s="43">
        <v>46028</v>
      </c>
      <c r="H5" s="43">
        <v>46029</v>
      </c>
      <c r="I5" s="43">
        <v>46030</v>
      </c>
      <c r="J5" s="43">
        <v>46031</v>
      </c>
      <c r="K5" s="43">
        <v>46032</v>
      </c>
      <c r="L5" s="43">
        <v>46033</v>
      </c>
      <c r="M5" s="43">
        <v>46034</v>
      </c>
      <c r="N5" s="43">
        <v>46035</v>
      </c>
      <c r="O5" s="43">
        <v>46036</v>
      </c>
      <c r="P5" s="43">
        <v>46037</v>
      </c>
      <c r="Q5" s="43">
        <v>46038</v>
      </c>
      <c r="R5" s="43">
        <v>46039</v>
      </c>
      <c r="S5" s="43">
        <v>46040</v>
      </c>
      <c r="T5" s="43">
        <v>46041</v>
      </c>
      <c r="U5" s="43">
        <v>46042</v>
      </c>
      <c r="V5" s="43">
        <v>46043</v>
      </c>
      <c r="W5" s="43">
        <v>46044</v>
      </c>
      <c r="X5" s="43">
        <v>46045</v>
      </c>
      <c r="Y5" s="43">
        <v>46046</v>
      </c>
      <c r="Z5" s="43">
        <v>46047</v>
      </c>
      <c r="AA5" s="43">
        <v>46048</v>
      </c>
      <c r="AB5" s="43">
        <v>46049</v>
      </c>
      <c r="AC5" s="43">
        <v>46050</v>
      </c>
      <c r="AD5" s="43">
        <v>46051</v>
      </c>
      <c r="AE5" s="43">
        <v>46052</v>
      </c>
      <c r="AF5" s="68">
        <v>46053</v>
      </c>
      <c r="AG5" s="3" t="s">
        <v>4</v>
      </c>
      <c r="AH5" s="4" t="s">
        <v>10</v>
      </c>
      <c r="AI5" s="4" t="s">
        <v>6</v>
      </c>
      <c r="AJ5" s="6" t="s">
        <v>7</v>
      </c>
      <c r="AK5" s="6" t="s">
        <v>8</v>
      </c>
      <c r="AL5" s="6" t="s">
        <v>9</v>
      </c>
    </row>
    <row r="6" spans="1:39" ht="17.25" thickTop="1" x14ac:dyDescent="0.3">
      <c r="A6" s="19">
        <v>101</v>
      </c>
      <c r="B6" s="69"/>
      <c r="C6" s="7"/>
      <c r="D6" s="7"/>
      <c r="E6" s="7" t="s">
        <v>10</v>
      </c>
      <c r="F6" s="7"/>
      <c r="G6" s="7"/>
      <c r="H6" s="7"/>
      <c r="I6" s="7"/>
      <c r="J6" s="7"/>
      <c r="K6" s="7"/>
      <c r="L6" s="7"/>
      <c r="M6" s="7" t="s">
        <v>5</v>
      </c>
      <c r="N6" s="7"/>
      <c r="O6" s="7"/>
      <c r="P6" s="7"/>
      <c r="Q6" s="7"/>
      <c r="R6" s="7"/>
      <c r="S6" s="7" t="s">
        <v>5</v>
      </c>
      <c r="T6" s="7"/>
      <c r="U6" s="7"/>
      <c r="V6" s="7"/>
      <c r="W6" s="7"/>
      <c r="X6" s="7"/>
      <c r="Y6" s="7"/>
      <c r="Z6" s="7" t="s">
        <v>5</v>
      </c>
      <c r="AA6" s="7" t="s">
        <v>13</v>
      </c>
      <c r="AB6" s="7"/>
      <c r="AC6" s="7"/>
      <c r="AD6" s="7"/>
      <c r="AE6" s="7"/>
      <c r="AF6" s="70"/>
      <c r="AG6" s="16">
        <f>COUNTIF(B6:AF6,"청")</f>
        <v>1</v>
      </c>
      <c r="AH6" s="9">
        <f>COUNTIF(B6:AF6,"7D")</f>
        <v>4</v>
      </c>
      <c r="AI6" s="9">
        <v>0</v>
      </c>
      <c r="AJ6" s="8">
        <f>'[1]2025.12.'!AL6</f>
        <v>46049</v>
      </c>
      <c r="AK6" s="8">
        <f>IFERROR(INDEX($B$3:$AF$5,1,MATCH("청",B6:AF6,0)),"")</f>
        <v>46048</v>
      </c>
      <c r="AL6" s="8">
        <f>IFERROR(AK6+40,"")</f>
        <v>46088</v>
      </c>
      <c r="AM6" s="81"/>
    </row>
    <row r="7" spans="1:39" x14ac:dyDescent="0.3">
      <c r="A7" s="10">
        <v>102</v>
      </c>
      <c r="B7" s="71"/>
      <c r="C7" s="97" t="s">
        <v>5</v>
      </c>
      <c r="D7" s="97"/>
      <c r="E7" s="97"/>
      <c r="F7" s="97"/>
      <c r="G7" s="97"/>
      <c r="H7" s="97"/>
      <c r="I7" s="97"/>
      <c r="J7" s="97" t="s">
        <v>5</v>
      </c>
      <c r="K7" s="97"/>
      <c r="L7" s="97"/>
      <c r="M7" s="97"/>
      <c r="N7" s="97"/>
      <c r="O7" s="97"/>
      <c r="P7" s="97"/>
      <c r="Q7" s="97" t="s">
        <v>5</v>
      </c>
      <c r="R7" s="97"/>
      <c r="S7" s="97"/>
      <c r="T7" s="97"/>
      <c r="U7" s="97"/>
      <c r="V7" s="97"/>
      <c r="W7" s="97"/>
      <c r="X7" s="97" t="s">
        <v>5</v>
      </c>
      <c r="Y7" s="97"/>
      <c r="Z7" s="97"/>
      <c r="AA7" s="97"/>
      <c r="AB7" s="97"/>
      <c r="AC7" s="97"/>
      <c r="AD7" s="97" t="s">
        <v>13</v>
      </c>
      <c r="AE7" s="97" t="s">
        <v>5</v>
      </c>
      <c r="AF7" s="72"/>
      <c r="AG7" s="45">
        <f t="shared" ref="AG7:AG28" si="0">COUNTIF(B7:AF7,"청")</f>
        <v>1</v>
      </c>
      <c r="AH7" s="44">
        <f t="shared" ref="AH7:AH28" si="1">COUNTIF(B7:AF7,"7D")</f>
        <v>5</v>
      </c>
      <c r="AI7" s="44">
        <v>0</v>
      </c>
      <c r="AJ7" s="8">
        <f>'[1]2025.12.'!AL7</f>
        <v>46060</v>
      </c>
      <c r="AK7" s="8">
        <f t="shared" ref="AK7:AK27" si="2">IFERROR(INDEX($B$3:$AF$5,1,MATCH("청",B7:AF7,0)),"")</f>
        <v>46051</v>
      </c>
      <c r="AL7" s="8">
        <f t="shared" ref="AL7:AL28" si="3">IFERROR(AK7+40,"")</f>
        <v>46091</v>
      </c>
      <c r="AM7" s="81"/>
    </row>
    <row r="8" spans="1:39" x14ac:dyDescent="0.3">
      <c r="A8" s="10">
        <v>103</v>
      </c>
      <c r="B8" s="71" t="s">
        <v>5</v>
      </c>
      <c r="C8" s="97"/>
      <c r="D8" s="97"/>
      <c r="E8" s="97"/>
      <c r="F8" s="97"/>
      <c r="G8" s="97"/>
      <c r="H8" s="97"/>
      <c r="I8" s="97" t="s">
        <v>5</v>
      </c>
      <c r="J8" s="97"/>
      <c r="K8" s="97"/>
      <c r="L8" s="97"/>
      <c r="M8" s="97"/>
      <c r="N8" s="97"/>
      <c r="O8" s="97"/>
      <c r="P8" s="97" t="s">
        <v>5</v>
      </c>
      <c r="Q8" s="97"/>
      <c r="R8" s="97"/>
      <c r="S8" s="97"/>
      <c r="T8" s="97"/>
      <c r="U8" s="97"/>
      <c r="V8" s="97"/>
      <c r="W8" s="97" t="s">
        <v>5</v>
      </c>
      <c r="X8" s="97"/>
      <c r="Y8" s="97"/>
      <c r="Z8" s="97"/>
      <c r="AA8" s="97"/>
      <c r="AB8" s="97"/>
      <c r="AC8" s="97"/>
      <c r="AD8" s="97" t="s">
        <v>5</v>
      </c>
      <c r="AE8" s="97"/>
      <c r="AF8" s="72"/>
      <c r="AG8" s="16">
        <f t="shared" si="0"/>
        <v>0</v>
      </c>
      <c r="AH8" s="9">
        <f t="shared" si="1"/>
        <v>5</v>
      </c>
      <c r="AI8" s="9">
        <v>0</v>
      </c>
      <c r="AJ8" s="8">
        <f>'[1]2025.12.'!AL8</f>
        <v>46054</v>
      </c>
      <c r="AK8" s="8" t="str">
        <f t="shared" si="2"/>
        <v/>
      </c>
      <c r="AL8" s="8">
        <f>AJ8</f>
        <v>46054</v>
      </c>
      <c r="AM8" s="81"/>
    </row>
    <row r="9" spans="1:39" x14ac:dyDescent="0.3">
      <c r="A9" s="10">
        <v>104</v>
      </c>
      <c r="B9" s="71"/>
      <c r="C9" s="97"/>
      <c r="D9" s="97" t="s">
        <v>5</v>
      </c>
      <c r="E9" s="97"/>
      <c r="F9" s="97"/>
      <c r="G9" s="97"/>
      <c r="H9" s="97"/>
      <c r="I9" s="97"/>
      <c r="J9" s="97"/>
      <c r="K9" s="97" t="s">
        <v>5</v>
      </c>
      <c r="L9" s="97"/>
      <c r="M9" s="97"/>
      <c r="N9" s="97"/>
      <c r="O9" s="97"/>
      <c r="P9" s="97"/>
      <c r="Q9" s="97"/>
      <c r="R9" s="97" t="s">
        <v>5</v>
      </c>
      <c r="S9" s="97"/>
      <c r="T9" s="97"/>
      <c r="U9" s="97"/>
      <c r="V9" s="97"/>
      <c r="W9" s="97"/>
      <c r="X9" s="97"/>
      <c r="Y9" s="97" t="s">
        <v>5</v>
      </c>
      <c r="Z9" s="97"/>
      <c r="AA9" s="97"/>
      <c r="AB9" s="97"/>
      <c r="AC9" s="97"/>
      <c r="AD9" s="97"/>
      <c r="AE9" s="97" t="s">
        <v>13</v>
      </c>
      <c r="AF9" s="72" t="s">
        <v>5</v>
      </c>
      <c r="AG9" s="16">
        <f t="shared" si="0"/>
        <v>1</v>
      </c>
      <c r="AH9" s="9">
        <f t="shared" si="1"/>
        <v>5</v>
      </c>
      <c r="AI9" s="9">
        <v>0</v>
      </c>
      <c r="AJ9" s="8">
        <f>'[1]2025.12.'!AL9</f>
        <v>46055</v>
      </c>
      <c r="AK9" s="8">
        <f t="shared" si="2"/>
        <v>46052</v>
      </c>
      <c r="AL9" s="8">
        <f t="shared" si="3"/>
        <v>46092</v>
      </c>
    </row>
    <row r="10" spans="1:39" x14ac:dyDescent="0.3">
      <c r="A10" s="10">
        <v>105</v>
      </c>
      <c r="B10" s="248" t="s">
        <v>130</v>
      </c>
      <c r="C10" s="249"/>
      <c r="D10" s="97"/>
      <c r="E10" s="97"/>
      <c r="F10" s="97" t="s">
        <v>13</v>
      </c>
      <c r="G10" s="97"/>
      <c r="H10" s="97"/>
      <c r="I10" s="97"/>
      <c r="J10" s="97" t="s">
        <v>10</v>
      </c>
      <c r="K10" s="97"/>
      <c r="L10" s="97"/>
      <c r="M10" s="97"/>
      <c r="N10" s="97"/>
      <c r="O10" s="97"/>
      <c r="P10" s="97"/>
      <c r="Q10" s="97" t="s">
        <v>5</v>
      </c>
      <c r="R10" s="97"/>
      <c r="S10" s="97"/>
      <c r="T10" s="97"/>
      <c r="U10" s="97"/>
      <c r="V10" s="97"/>
      <c r="W10" s="97"/>
      <c r="X10" s="97" t="s">
        <v>5</v>
      </c>
      <c r="Y10" s="97"/>
      <c r="Z10" s="97"/>
      <c r="AA10" s="97"/>
      <c r="AB10" s="97"/>
      <c r="AC10" s="97"/>
      <c r="AD10" s="97"/>
      <c r="AE10" s="97" t="s">
        <v>5</v>
      </c>
      <c r="AF10" s="72"/>
      <c r="AG10" s="16">
        <f t="shared" si="0"/>
        <v>1</v>
      </c>
      <c r="AH10" s="9">
        <f t="shared" si="1"/>
        <v>4</v>
      </c>
      <c r="AI10" s="9">
        <v>0</v>
      </c>
      <c r="AJ10" s="8">
        <f>'[1]2025.12.'!AL10</f>
        <v>46040</v>
      </c>
      <c r="AK10" s="8">
        <f t="shared" si="2"/>
        <v>46027</v>
      </c>
      <c r="AL10" s="8">
        <f t="shared" si="3"/>
        <v>46067</v>
      </c>
      <c r="AM10" s="81"/>
    </row>
    <row r="11" spans="1:39" x14ac:dyDescent="0.3">
      <c r="A11" s="10">
        <v>106</v>
      </c>
      <c r="B11" s="71"/>
      <c r="C11" s="97"/>
      <c r="D11" s="97"/>
      <c r="E11" s="97"/>
      <c r="F11" s="97"/>
      <c r="G11" s="97"/>
      <c r="H11" s="103" t="s">
        <v>5</v>
      </c>
      <c r="I11" s="97"/>
      <c r="J11" s="97"/>
      <c r="K11" s="97"/>
      <c r="L11" s="97"/>
      <c r="M11" s="97"/>
      <c r="N11" s="103" t="s">
        <v>5</v>
      </c>
      <c r="O11" s="97" t="s">
        <v>13</v>
      </c>
      <c r="P11" s="97"/>
      <c r="Q11" s="97"/>
      <c r="R11" s="97"/>
      <c r="S11" s="97"/>
      <c r="T11" s="97"/>
      <c r="U11" s="103" t="s">
        <v>5</v>
      </c>
      <c r="V11" s="97"/>
      <c r="W11" s="97"/>
      <c r="X11" s="97"/>
      <c r="Y11" s="97"/>
      <c r="Z11" s="97"/>
      <c r="AA11" s="97"/>
      <c r="AB11" s="103" t="s">
        <v>5</v>
      </c>
      <c r="AC11" s="97"/>
      <c r="AD11" s="97"/>
      <c r="AE11" s="97"/>
      <c r="AF11" s="72"/>
      <c r="AG11" s="16">
        <f t="shared" si="0"/>
        <v>1</v>
      </c>
      <c r="AH11" s="9">
        <f t="shared" si="1"/>
        <v>4</v>
      </c>
      <c r="AI11" s="9">
        <v>0</v>
      </c>
      <c r="AJ11" s="8">
        <f>'[1]2025.12.'!AL11</f>
        <v>46057</v>
      </c>
      <c r="AK11" s="8">
        <f t="shared" si="2"/>
        <v>46036</v>
      </c>
      <c r="AL11" s="8">
        <f t="shared" si="3"/>
        <v>46076</v>
      </c>
    </row>
    <row r="12" spans="1:39" x14ac:dyDescent="0.3">
      <c r="A12" s="10">
        <v>107</v>
      </c>
      <c r="B12" s="71"/>
      <c r="C12" s="97" t="s">
        <v>13</v>
      </c>
      <c r="D12" s="97"/>
      <c r="E12" s="97"/>
      <c r="F12" s="97"/>
      <c r="G12" s="97"/>
      <c r="H12" s="103" t="s">
        <v>5</v>
      </c>
      <c r="I12" s="97"/>
      <c r="J12" s="97"/>
      <c r="K12" s="97"/>
      <c r="L12" s="97"/>
      <c r="M12" s="97"/>
      <c r="N12" s="97"/>
      <c r="O12" s="103" t="s">
        <v>5</v>
      </c>
      <c r="P12" s="97"/>
      <c r="Q12" s="97"/>
      <c r="R12" s="97"/>
      <c r="S12" s="97"/>
      <c r="T12" s="97"/>
      <c r="U12" s="97"/>
      <c r="V12" s="103" t="s">
        <v>5</v>
      </c>
      <c r="W12" s="97"/>
      <c r="X12" s="97"/>
      <c r="Y12" s="97"/>
      <c r="Z12" s="97"/>
      <c r="AA12" s="97"/>
      <c r="AB12" s="97"/>
      <c r="AC12" s="103" t="s">
        <v>5</v>
      </c>
      <c r="AD12" s="97"/>
      <c r="AE12" s="97"/>
      <c r="AF12" s="72"/>
      <c r="AG12" s="16">
        <f t="shared" si="0"/>
        <v>1</v>
      </c>
      <c r="AH12" s="9">
        <f t="shared" si="1"/>
        <v>4</v>
      </c>
      <c r="AI12" s="9">
        <v>0</v>
      </c>
      <c r="AJ12" s="8">
        <f>'[1]2025.12.'!AL12</f>
        <v>46028</v>
      </c>
      <c r="AK12" s="8">
        <f t="shared" si="2"/>
        <v>46024</v>
      </c>
      <c r="AL12" s="8">
        <f t="shared" si="3"/>
        <v>46064</v>
      </c>
      <c r="AM12" s="81"/>
    </row>
    <row r="13" spans="1:39" x14ac:dyDescent="0.3">
      <c r="A13" s="10">
        <v>108</v>
      </c>
      <c r="B13" s="71"/>
      <c r="C13" s="97"/>
      <c r="D13" s="103" t="s">
        <v>5</v>
      </c>
      <c r="E13" s="97"/>
      <c r="F13" s="97"/>
      <c r="G13" s="97"/>
      <c r="H13" s="97"/>
      <c r="I13" s="97"/>
      <c r="J13" s="97"/>
      <c r="K13" s="103" t="s">
        <v>5</v>
      </c>
      <c r="L13" s="97"/>
      <c r="M13" s="97"/>
      <c r="N13" s="97"/>
      <c r="O13" s="97"/>
      <c r="P13" s="253" t="s">
        <v>116</v>
      </c>
      <c r="Q13" s="254"/>
      <c r="R13" s="254"/>
      <c r="S13" s="254"/>
      <c r="T13" s="254"/>
      <c r="U13" s="249"/>
      <c r="V13" s="97" t="s">
        <v>13</v>
      </c>
      <c r="W13" s="97"/>
      <c r="X13" s="97"/>
      <c r="Y13" s="97"/>
      <c r="Z13" s="97"/>
      <c r="AA13" s="103" t="s">
        <v>5</v>
      </c>
      <c r="AB13" s="97"/>
      <c r="AC13" s="97"/>
      <c r="AD13" s="97"/>
      <c r="AE13" s="97"/>
      <c r="AF13" s="72"/>
      <c r="AG13" s="16">
        <f t="shared" si="0"/>
        <v>1</v>
      </c>
      <c r="AH13" s="9">
        <f t="shared" si="1"/>
        <v>3</v>
      </c>
      <c r="AI13" s="9">
        <v>0</v>
      </c>
      <c r="AJ13" s="8">
        <f>'[1]2025.12.'!AL13</f>
        <v>46062</v>
      </c>
      <c r="AK13" s="8">
        <f t="shared" si="2"/>
        <v>46043</v>
      </c>
      <c r="AL13" s="8">
        <f t="shared" si="3"/>
        <v>46083</v>
      </c>
      <c r="AM13" s="80"/>
    </row>
    <row r="14" spans="1:39" x14ac:dyDescent="0.3">
      <c r="A14" s="10">
        <v>109</v>
      </c>
      <c r="B14" s="71"/>
      <c r="C14" s="97"/>
      <c r="D14" s="97"/>
      <c r="E14" s="97"/>
      <c r="F14" s="97"/>
      <c r="G14" s="97"/>
      <c r="H14" s="103" t="s">
        <v>5</v>
      </c>
      <c r="I14" s="97" t="s">
        <v>13</v>
      </c>
      <c r="J14" s="97"/>
      <c r="K14" s="97"/>
      <c r="L14" s="97"/>
      <c r="M14" s="97"/>
      <c r="N14" s="97"/>
      <c r="O14" s="103" t="s">
        <v>5</v>
      </c>
      <c r="P14" s="97"/>
      <c r="Q14" s="97"/>
      <c r="R14" s="97"/>
      <c r="S14" s="97"/>
      <c r="T14" s="97"/>
      <c r="U14" s="97"/>
      <c r="V14" s="103" t="s">
        <v>5</v>
      </c>
      <c r="W14" s="97"/>
      <c r="X14" s="97"/>
      <c r="Y14" s="97"/>
      <c r="Z14" s="97"/>
      <c r="AA14" s="97"/>
      <c r="AB14" s="97"/>
      <c r="AC14" s="103" t="s">
        <v>5</v>
      </c>
      <c r="AD14" s="97"/>
      <c r="AE14" s="97"/>
      <c r="AF14" s="72"/>
      <c r="AG14" s="16">
        <f t="shared" si="0"/>
        <v>1</v>
      </c>
      <c r="AH14" s="9">
        <f t="shared" si="1"/>
        <v>4</v>
      </c>
      <c r="AI14" s="9">
        <v>0</v>
      </c>
      <c r="AJ14" s="8">
        <f>'[1]2025.12.'!AL14</f>
        <v>46035</v>
      </c>
      <c r="AK14" s="8">
        <f t="shared" si="2"/>
        <v>46030</v>
      </c>
      <c r="AL14" s="8">
        <f t="shared" si="3"/>
        <v>46070</v>
      </c>
    </row>
    <row r="15" spans="1:39" x14ac:dyDescent="0.3">
      <c r="A15" s="10">
        <v>110</v>
      </c>
      <c r="B15" s="71"/>
      <c r="C15" s="97"/>
      <c r="D15" s="97"/>
      <c r="E15" s="97"/>
      <c r="F15" s="103" t="s">
        <v>5</v>
      </c>
      <c r="G15" s="97"/>
      <c r="H15" s="97"/>
      <c r="I15" s="97"/>
      <c r="J15" s="97"/>
      <c r="K15" s="97"/>
      <c r="L15" s="97"/>
      <c r="M15" s="103" t="s">
        <v>5</v>
      </c>
      <c r="N15" s="97"/>
      <c r="O15" s="97"/>
      <c r="P15" s="97"/>
      <c r="Q15" s="97" t="s">
        <v>13</v>
      </c>
      <c r="R15" s="97"/>
      <c r="S15" s="97"/>
      <c r="T15" s="103" t="s">
        <v>5</v>
      </c>
      <c r="U15" s="97"/>
      <c r="V15" s="97"/>
      <c r="W15" s="97"/>
      <c r="X15" s="97"/>
      <c r="Y15" s="97"/>
      <c r="Z15" s="97"/>
      <c r="AA15" s="103" t="s">
        <v>5</v>
      </c>
      <c r="AB15" s="97"/>
      <c r="AC15" s="97"/>
      <c r="AD15" s="97"/>
      <c r="AE15" s="97"/>
      <c r="AF15" s="72"/>
      <c r="AG15" s="16">
        <f t="shared" si="0"/>
        <v>1</v>
      </c>
      <c r="AH15" s="9">
        <f t="shared" si="1"/>
        <v>4</v>
      </c>
      <c r="AI15" s="9">
        <v>0</v>
      </c>
      <c r="AJ15" s="8">
        <f>'[1]2025.12.'!AL15</f>
        <v>46041</v>
      </c>
      <c r="AK15" s="8">
        <f t="shared" si="2"/>
        <v>46038</v>
      </c>
      <c r="AL15" s="8">
        <f t="shared" si="3"/>
        <v>46078</v>
      </c>
    </row>
    <row r="16" spans="1:39" x14ac:dyDescent="0.3">
      <c r="A16" s="10">
        <v>111</v>
      </c>
      <c r="B16" s="71"/>
      <c r="C16" s="97"/>
      <c r="D16" s="97"/>
      <c r="E16" s="97"/>
      <c r="F16" s="103" t="s">
        <v>5</v>
      </c>
      <c r="G16" s="97"/>
      <c r="H16" s="97"/>
      <c r="I16" s="97"/>
      <c r="J16" s="253" t="s">
        <v>152</v>
      </c>
      <c r="K16" s="254"/>
      <c r="L16" s="254"/>
      <c r="M16" s="254"/>
      <c r="N16" s="254"/>
      <c r="O16" s="249"/>
      <c r="P16" s="97" t="s">
        <v>13</v>
      </c>
      <c r="Q16" s="97"/>
      <c r="R16" s="97"/>
      <c r="S16" s="97"/>
      <c r="T16" s="97"/>
      <c r="U16" s="97"/>
      <c r="V16" s="103" t="s">
        <v>5</v>
      </c>
      <c r="W16" s="97"/>
      <c r="X16" s="97"/>
      <c r="Y16" s="97"/>
      <c r="Z16" s="97"/>
      <c r="AA16" s="97"/>
      <c r="AB16" s="97"/>
      <c r="AC16" s="103" t="s">
        <v>5</v>
      </c>
      <c r="AD16" s="97"/>
      <c r="AE16" s="97"/>
      <c r="AF16" s="72"/>
      <c r="AG16" s="16">
        <f t="shared" si="0"/>
        <v>1</v>
      </c>
      <c r="AH16" s="9">
        <f t="shared" si="1"/>
        <v>3</v>
      </c>
      <c r="AI16" s="9">
        <v>0</v>
      </c>
      <c r="AJ16" s="8">
        <f>'[1]2025.12.'!AL16</f>
        <v>46029</v>
      </c>
      <c r="AK16" s="8">
        <f t="shared" si="2"/>
        <v>46037</v>
      </c>
      <c r="AL16" s="8">
        <f t="shared" si="3"/>
        <v>46077</v>
      </c>
    </row>
    <row r="17" spans="1:39" x14ac:dyDescent="0.3">
      <c r="A17" s="10">
        <v>112</v>
      </c>
      <c r="B17" s="71" t="s">
        <v>5</v>
      </c>
      <c r="C17" s="97"/>
      <c r="D17" s="97"/>
      <c r="E17" s="97"/>
      <c r="F17" s="97"/>
      <c r="G17" s="97"/>
      <c r="H17" s="97"/>
      <c r="I17" s="103" t="s">
        <v>5</v>
      </c>
      <c r="J17" s="97"/>
      <c r="K17" s="97"/>
      <c r="L17" s="97"/>
      <c r="M17" s="97" t="s">
        <v>13</v>
      </c>
      <c r="N17" s="97"/>
      <c r="O17" s="103" t="s">
        <v>5</v>
      </c>
      <c r="P17" s="97"/>
      <c r="Q17" s="97"/>
      <c r="R17" s="97"/>
      <c r="S17" s="97"/>
      <c r="T17" s="97"/>
      <c r="U17" s="97"/>
      <c r="V17" s="97"/>
      <c r="W17" s="103" t="s">
        <v>5</v>
      </c>
      <c r="X17" s="97"/>
      <c r="Y17" s="97"/>
      <c r="Z17" s="97"/>
      <c r="AA17" s="97"/>
      <c r="AB17" s="97"/>
      <c r="AC17" s="97"/>
      <c r="AD17" s="103" t="s">
        <v>5</v>
      </c>
      <c r="AE17" s="97"/>
      <c r="AF17" s="72"/>
      <c r="AG17" s="16">
        <f t="shared" si="0"/>
        <v>1</v>
      </c>
      <c r="AH17" s="9">
        <f t="shared" si="1"/>
        <v>5</v>
      </c>
      <c r="AI17" s="9">
        <v>0</v>
      </c>
      <c r="AJ17" s="8">
        <f>'[1]2025.12.'!AL17</f>
        <v>46039</v>
      </c>
      <c r="AK17" s="8">
        <f t="shared" si="2"/>
        <v>46034</v>
      </c>
      <c r="AL17" s="8">
        <f t="shared" si="3"/>
        <v>46074</v>
      </c>
      <c r="AM17" s="81"/>
    </row>
    <row r="18" spans="1:39" x14ac:dyDescent="0.3">
      <c r="A18" s="10">
        <v>113</v>
      </c>
      <c r="B18" s="71"/>
      <c r="C18" s="97"/>
      <c r="D18" s="97"/>
      <c r="E18" s="103" t="s">
        <v>5</v>
      </c>
      <c r="F18" s="97"/>
      <c r="G18" s="97"/>
      <c r="H18" s="97"/>
      <c r="I18" s="97"/>
      <c r="J18" s="97"/>
      <c r="K18" s="97"/>
      <c r="L18" s="103" t="s">
        <v>5</v>
      </c>
      <c r="M18" s="97"/>
      <c r="N18" s="97"/>
      <c r="O18" s="97"/>
      <c r="P18" s="97"/>
      <c r="Q18" s="97"/>
      <c r="R18" s="97"/>
      <c r="S18" s="103" t="s">
        <v>5</v>
      </c>
      <c r="T18" s="97"/>
      <c r="U18" s="97"/>
      <c r="V18" s="97"/>
      <c r="W18" s="97"/>
      <c r="X18" s="97" t="s">
        <v>13</v>
      </c>
      <c r="Y18" s="97"/>
      <c r="Z18" s="103" t="s">
        <v>5</v>
      </c>
      <c r="AA18" s="97"/>
      <c r="AB18" s="97"/>
      <c r="AC18" s="97"/>
      <c r="AD18" s="97"/>
      <c r="AE18" s="97"/>
      <c r="AF18" s="72"/>
      <c r="AG18" s="16">
        <f t="shared" si="0"/>
        <v>1</v>
      </c>
      <c r="AH18" s="9">
        <f t="shared" si="1"/>
        <v>4</v>
      </c>
      <c r="AI18" s="9">
        <v>0</v>
      </c>
      <c r="AJ18" s="8">
        <f>'[1]2025.12.'!AL18</f>
        <v>46048</v>
      </c>
      <c r="AK18" s="8">
        <f t="shared" si="2"/>
        <v>46045</v>
      </c>
      <c r="AL18" s="8">
        <f t="shared" si="3"/>
        <v>46085</v>
      </c>
    </row>
    <row r="19" spans="1:39" x14ac:dyDescent="0.3">
      <c r="A19" s="10">
        <v>114</v>
      </c>
      <c r="B19" s="250" t="s">
        <v>146</v>
      </c>
      <c r="C19" s="251"/>
      <c r="D19" s="251"/>
      <c r="E19" s="251"/>
      <c r="F19" s="251"/>
      <c r="G19" s="251"/>
      <c r="H19" s="251"/>
      <c r="I19" s="251"/>
      <c r="J19" s="251"/>
      <c r="K19" s="251"/>
      <c r="L19" s="251"/>
      <c r="M19" s="251"/>
      <c r="N19" s="251"/>
      <c r="O19" s="251"/>
      <c r="P19" s="251"/>
      <c r="Q19" s="251"/>
      <c r="R19" s="251"/>
      <c r="S19" s="251"/>
      <c r="T19" s="251"/>
      <c r="U19" s="251"/>
      <c r="V19" s="251"/>
      <c r="W19" s="251"/>
      <c r="X19" s="251"/>
      <c r="Y19" s="251"/>
      <c r="Z19" s="251"/>
      <c r="AA19" s="251"/>
      <c r="AB19" s="251"/>
      <c r="AC19" s="251"/>
      <c r="AD19" s="251"/>
      <c r="AE19" s="251"/>
      <c r="AF19" s="252"/>
      <c r="AG19" s="16">
        <f t="shared" si="0"/>
        <v>0</v>
      </c>
      <c r="AH19" s="9">
        <f t="shared" si="1"/>
        <v>0</v>
      </c>
      <c r="AI19" s="9">
        <v>0</v>
      </c>
      <c r="AJ19" s="8">
        <f>'[1]2025.12.'!AL19</f>
        <v>46013</v>
      </c>
      <c r="AK19" s="8" t="str">
        <f t="shared" si="2"/>
        <v/>
      </c>
      <c r="AL19" s="8">
        <f>AJ19</f>
        <v>46013</v>
      </c>
      <c r="AM19" s="81"/>
    </row>
    <row r="20" spans="1:39" x14ac:dyDescent="0.3">
      <c r="A20" s="10">
        <v>115</v>
      </c>
      <c r="B20" s="71"/>
      <c r="C20" s="97"/>
      <c r="D20" s="97"/>
      <c r="E20" s="103" t="s">
        <v>5</v>
      </c>
      <c r="F20" s="97"/>
      <c r="G20" s="97"/>
      <c r="H20" s="97"/>
      <c r="I20" s="97"/>
      <c r="J20" s="97"/>
      <c r="K20" s="97"/>
      <c r="L20" s="103" t="s">
        <v>5</v>
      </c>
      <c r="M20" s="97"/>
      <c r="N20" s="97"/>
      <c r="O20" s="97"/>
      <c r="P20" s="97"/>
      <c r="Q20" s="97"/>
      <c r="R20" s="97"/>
      <c r="S20" s="103" t="s">
        <v>5</v>
      </c>
      <c r="T20" s="97"/>
      <c r="U20" s="97" t="s">
        <v>13</v>
      </c>
      <c r="V20" s="97"/>
      <c r="W20" s="97"/>
      <c r="X20" s="97"/>
      <c r="Y20" s="97"/>
      <c r="Z20" s="103" t="s">
        <v>5</v>
      </c>
      <c r="AA20" s="97"/>
      <c r="AB20" s="97"/>
      <c r="AC20" s="97"/>
      <c r="AD20" s="97"/>
      <c r="AE20" s="97"/>
      <c r="AF20" s="72"/>
      <c r="AG20" s="16">
        <f t="shared" si="0"/>
        <v>1</v>
      </c>
      <c r="AH20" s="9">
        <f t="shared" si="1"/>
        <v>4</v>
      </c>
      <c r="AI20" s="9">
        <v>0</v>
      </c>
      <c r="AJ20" s="8">
        <f>'[1]2025.12.'!AL20</f>
        <v>46043</v>
      </c>
      <c r="AK20" s="8">
        <f t="shared" si="2"/>
        <v>46042</v>
      </c>
      <c r="AL20" s="8">
        <f t="shared" si="3"/>
        <v>46082</v>
      </c>
    </row>
    <row r="21" spans="1:39" x14ac:dyDescent="0.3">
      <c r="A21" s="10">
        <v>116</v>
      </c>
      <c r="B21" s="71"/>
      <c r="C21" s="103" t="s">
        <v>5</v>
      </c>
      <c r="D21" s="97"/>
      <c r="E21" s="97"/>
      <c r="F21" s="97"/>
      <c r="G21" s="97"/>
      <c r="H21" s="97"/>
      <c r="I21" s="97"/>
      <c r="J21" s="103" t="s">
        <v>5</v>
      </c>
      <c r="K21" s="97"/>
      <c r="L21" s="97"/>
      <c r="M21" s="97"/>
      <c r="N21" s="97"/>
      <c r="O21" s="97"/>
      <c r="P21" s="97"/>
      <c r="Q21" s="103" t="s">
        <v>5</v>
      </c>
      <c r="R21" s="97"/>
      <c r="S21" s="97"/>
      <c r="T21" s="97"/>
      <c r="U21" s="97"/>
      <c r="V21" s="97"/>
      <c r="W21" s="97"/>
      <c r="X21" s="103" t="s">
        <v>5</v>
      </c>
      <c r="Y21" s="97"/>
      <c r="Z21" s="97"/>
      <c r="AA21" s="97"/>
      <c r="AB21" s="97"/>
      <c r="AC21" s="97"/>
      <c r="AD21" s="97"/>
      <c r="AE21" s="103" t="s">
        <v>5</v>
      </c>
      <c r="AF21" s="72"/>
      <c r="AG21" s="16">
        <f t="shared" si="0"/>
        <v>0</v>
      </c>
      <c r="AH21" s="9">
        <f t="shared" si="1"/>
        <v>5</v>
      </c>
      <c r="AI21" s="9">
        <v>0</v>
      </c>
      <c r="AJ21" s="8">
        <f>'[1]2025.12.'!AL21</f>
        <v>46061</v>
      </c>
      <c r="AK21" s="8" t="str">
        <f t="shared" si="2"/>
        <v/>
      </c>
      <c r="AL21" s="8">
        <f>AJ21</f>
        <v>46061</v>
      </c>
    </row>
    <row r="22" spans="1:39" x14ac:dyDescent="0.3">
      <c r="A22" s="10">
        <v>117</v>
      </c>
      <c r="B22" s="71"/>
      <c r="C22" s="97"/>
      <c r="D22" s="97"/>
      <c r="E22" s="97"/>
      <c r="F22" s="103" t="s">
        <v>5</v>
      </c>
      <c r="G22" s="97"/>
      <c r="H22" s="97"/>
      <c r="I22" s="97"/>
      <c r="J22" s="97"/>
      <c r="K22" s="97"/>
      <c r="L22" s="97"/>
      <c r="M22" s="103" t="s">
        <v>5</v>
      </c>
      <c r="N22" s="97"/>
      <c r="O22" s="97"/>
      <c r="P22" s="97"/>
      <c r="Q22" s="97"/>
      <c r="R22" s="97"/>
      <c r="S22" s="97"/>
      <c r="T22" s="103" t="s">
        <v>5</v>
      </c>
      <c r="U22" s="97"/>
      <c r="V22" s="97"/>
      <c r="W22" s="97" t="s">
        <v>13</v>
      </c>
      <c r="X22" s="97"/>
      <c r="Y22" s="97"/>
      <c r="Z22" s="97"/>
      <c r="AA22" s="103" t="s">
        <v>5</v>
      </c>
      <c r="AB22" s="97"/>
      <c r="AC22" s="97"/>
      <c r="AD22" s="97"/>
      <c r="AE22" s="97"/>
      <c r="AF22" s="72"/>
      <c r="AG22" s="16">
        <f t="shared" si="0"/>
        <v>1</v>
      </c>
      <c r="AH22" s="9">
        <f t="shared" si="1"/>
        <v>4</v>
      </c>
      <c r="AI22" s="9">
        <v>0</v>
      </c>
      <c r="AJ22" s="8">
        <f>'[1]2025.12.'!AL22</f>
        <v>46047</v>
      </c>
      <c r="AK22" s="8">
        <f t="shared" si="2"/>
        <v>46044</v>
      </c>
      <c r="AL22" s="8">
        <f t="shared" si="3"/>
        <v>46084</v>
      </c>
      <c r="AM22" s="81"/>
    </row>
    <row r="23" spans="1:39" x14ac:dyDescent="0.3">
      <c r="A23" s="10">
        <v>118</v>
      </c>
      <c r="B23" s="71"/>
      <c r="C23" s="97"/>
      <c r="D23" s="103" t="s">
        <v>5</v>
      </c>
      <c r="E23" s="97"/>
      <c r="F23" s="97"/>
      <c r="G23" s="97"/>
      <c r="H23" s="97"/>
      <c r="I23" s="97"/>
      <c r="J23" s="97"/>
      <c r="K23" s="97"/>
      <c r="L23" s="103" t="s">
        <v>5</v>
      </c>
      <c r="M23" s="97"/>
      <c r="N23" s="97" t="s">
        <v>13</v>
      </c>
      <c r="O23" s="97"/>
      <c r="P23" s="97"/>
      <c r="Q23" s="97"/>
      <c r="R23" s="97"/>
      <c r="S23" s="97"/>
      <c r="T23" s="103" t="s">
        <v>5</v>
      </c>
      <c r="U23" s="97"/>
      <c r="V23" s="97"/>
      <c r="W23" s="97"/>
      <c r="X23" s="97"/>
      <c r="Y23" s="97"/>
      <c r="Z23" s="97"/>
      <c r="AA23" s="97"/>
      <c r="AB23" s="253" t="s">
        <v>115</v>
      </c>
      <c r="AC23" s="254"/>
      <c r="AD23" s="254"/>
      <c r="AE23" s="249"/>
      <c r="AF23" s="72"/>
      <c r="AG23" s="16">
        <f t="shared" si="0"/>
        <v>1</v>
      </c>
      <c r="AH23" s="9">
        <f t="shared" si="1"/>
        <v>3</v>
      </c>
      <c r="AI23" s="9">
        <v>0</v>
      </c>
      <c r="AJ23" s="8">
        <f>'[1]2025.12.'!AL23</f>
        <v>46046</v>
      </c>
      <c r="AK23" s="8">
        <f t="shared" si="2"/>
        <v>46035</v>
      </c>
      <c r="AL23" s="8">
        <f t="shared" si="3"/>
        <v>46075</v>
      </c>
      <c r="AM23" s="80" t="s">
        <v>144</v>
      </c>
    </row>
    <row r="24" spans="1:39" x14ac:dyDescent="0.3">
      <c r="A24" s="10">
        <v>119</v>
      </c>
      <c r="B24" s="71"/>
      <c r="C24" s="97"/>
      <c r="D24" s="97"/>
      <c r="E24" s="97"/>
      <c r="F24" s="97"/>
      <c r="G24" s="103" t="s">
        <v>5</v>
      </c>
      <c r="H24" s="97" t="s">
        <v>13</v>
      </c>
      <c r="I24" s="97"/>
      <c r="J24" s="97"/>
      <c r="K24" s="97"/>
      <c r="L24" s="97"/>
      <c r="M24" s="97"/>
      <c r="N24" s="103" t="s">
        <v>5</v>
      </c>
      <c r="O24" s="97"/>
      <c r="P24" s="97"/>
      <c r="Q24" s="97"/>
      <c r="R24" s="97"/>
      <c r="S24" s="97"/>
      <c r="T24" s="97"/>
      <c r="U24" s="103" t="s">
        <v>5</v>
      </c>
      <c r="V24" s="97"/>
      <c r="W24" s="97"/>
      <c r="X24" s="97"/>
      <c r="Y24" s="97"/>
      <c r="Z24" s="97"/>
      <c r="AA24" s="97"/>
      <c r="AB24" s="103" t="s">
        <v>5</v>
      </c>
      <c r="AC24" s="97"/>
      <c r="AD24" s="97"/>
      <c r="AE24" s="97"/>
      <c r="AF24" s="72"/>
      <c r="AG24" s="16">
        <f t="shared" si="0"/>
        <v>1</v>
      </c>
      <c r="AH24" s="9">
        <f t="shared" si="1"/>
        <v>4</v>
      </c>
      <c r="AI24" s="9">
        <v>0</v>
      </c>
      <c r="AJ24" s="8">
        <f>'[1]2025.12.'!AL24</f>
        <v>46034</v>
      </c>
      <c r="AK24" s="8">
        <f t="shared" si="2"/>
        <v>46029</v>
      </c>
      <c r="AL24" s="8">
        <f t="shared" si="3"/>
        <v>46069</v>
      </c>
      <c r="AM24" s="81"/>
    </row>
    <row r="25" spans="1:39" x14ac:dyDescent="0.3">
      <c r="A25" s="10">
        <v>120</v>
      </c>
      <c r="B25" s="71"/>
      <c r="C25" s="97"/>
      <c r="D25" s="97"/>
      <c r="E25" s="97"/>
      <c r="F25" s="253" t="s">
        <v>100</v>
      </c>
      <c r="G25" s="254"/>
      <c r="H25" s="254"/>
      <c r="I25" s="249"/>
      <c r="J25" s="97" t="s">
        <v>13</v>
      </c>
      <c r="K25" s="97"/>
      <c r="L25" s="97"/>
      <c r="M25" s="97"/>
      <c r="N25" s="97"/>
      <c r="O25" s="97"/>
      <c r="P25" s="103" t="s">
        <v>5</v>
      </c>
      <c r="Q25" s="97"/>
      <c r="R25" s="97"/>
      <c r="S25" s="97"/>
      <c r="T25" s="97"/>
      <c r="U25" s="97"/>
      <c r="V25" s="97"/>
      <c r="W25" s="103" t="s">
        <v>5</v>
      </c>
      <c r="X25" s="97"/>
      <c r="Y25" s="97"/>
      <c r="Z25" s="97"/>
      <c r="AA25" s="97"/>
      <c r="AB25" s="97"/>
      <c r="AC25" s="97"/>
      <c r="AD25" s="103" t="s">
        <v>5</v>
      </c>
      <c r="AE25" s="97"/>
      <c r="AF25" s="72"/>
      <c r="AG25" s="16">
        <f t="shared" si="0"/>
        <v>1</v>
      </c>
      <c r="AH25" s="9">
        <f t="shared" si="1"/>
        <v>3</v>
      </c>
      <c r="AI25" s="9">
        <v>0</v>
      </c>
      <c r="AJ25" s="8">
        <f>'[1]2025.12.'!AL25</f>
        <v>46050</v>
      </c>
      <c r="AK25" s="8">
        <f t="shared" si="2"/>
        <v>46031</v>
      </c>
      <c r="AL25" s="8">
        <f t="shared" si="3"/>
        <v>46071</v>
      </c>
      <c r="AM25" s="81"/>
    </row>
    <row r="26" spans="1:39" x14ac:dyDescent="0.3">
      <c r="A26" s="10">
        <v>121</v>
      </c>
      <c r="B26" s="71"/>
      <c r="C26" s="97"/>
      <c r="D26" s="97"/>
      <c r="E26" s="97"/>
      <c r="F26" s="97"/>
      <c r="G26" s="103" t="s">
        <v>5</v>
      </c>
      <c r="H26" s="97"/>
      <c r="I26" s="97"/>
      <c r="J26" s="97"/>
      <c r="K26" s="97"/>
      <c r="L26" s="97"/>
      <c r="M26" s="97"/>
      <c r="N26" s="103" t="s">
        <v>5</v>
      </c>
      <c r="O26" s="97"/>
      <c r="P26" s="97"/>
      <c r="Q26" s="97"/>
      <c r="R26" s="97"/>
      <c r="S26" s="97"/>
      <c r="T26" s="97" t="s">
        <v>13</v>
      </c>
      <c r="U26" s="103" t="s">
        <v>5</v>
      </c>
      <c r="V26" s="97"/>
      <c r="W26" s="97"/>
      <c r="X26" s="97"/>
      <c r="Y26" s="97"/>
      <c r="Z26" s="97"/>
      <c r="AA26" s="97"/>
      <c r="AB26" s="103" t="s">
        <v>5</v>
      </c>
      <c r="AC26" s="97"/>
      <c r="AD26" s="97"/>
      <c r="AE26" s="97"/>
      <c r="AF26" s="72"/>
      <c r="AG26" s="16">
        <f t="shared" si="0"/>
        <v>1</v>
      </c>
      <c r="AH26" s="9">
        <f t="shared" si="1"/>
        <v>4</v>
      </c>
      <c r="AI26" s="9">
        <v>0</v>
      </c>
      <c r="AJ26" s="8">
        <f>'[1]2025.12.'!AL26</f>
        <v>46042</v>
      </c>
      <c r="AK26" s="8">
        <f t="shared" si="2"/>
        <v>46041</v>
      </c>
      <c r="AL26" s="8">
        <f t="shared" si="3"/>
        <v>46081</v>
      </c>
    </row>
    <row r="27" spans="1:39" x14ac:dyDescent="0.3">
      <c r="A27" s="10">
        <v>122</v>
      </c>
      <c r="B27" s="71"/>
      <c r="C27" s="103" t="s">
        <v>5</v>
      </c>
      <c r="D27" s="97"/>
      <c r="E27" s="97"/>
      <c r="F27" s="97"/>
      <c r="G27" s="97"/>
      <c r="H27" s="97"/>
      <c r="I27" s="97"/>
      <c r="J27" s="97"/>
      <c r="K27" s="103" t="s">
        <v>5</v>
      </c>
      <c r="L27" s="97"/>
      <c r="M27" s="97"/>
      <c r="N27" s="97"/>
      <c r="O27" s="97"/>
      <c r="P27" s="97"/>
      <c r="Q27" s="97"/>
      <c r="R27" s="103" t="s">
        <v>5</v>
      </c>
      <c r="S27" s="97"/>
      <c r="T27" s="97"/>
      <c r="U27" s="97"/>
      <c r="V27" s="97"/>
      <c r="W27" s="97"/>
      <c r="X27" s="97"/>
      <c r="Y27" s="103" t="s">
        <v>5</v>
      </c>
      <c r="Z27" s="97"/>
      <c r="AA27" s="97"/>
      <c r="AB27" s="97"/>
      <c r="AC27" s="97" t="s">
        <v>13</v>
      </c>
      <c r="AD27" s="97"/>
      <c r="AE27" s="97"/>
      <c r="AF27" s="72" t="s">
        <v>5</v>
      </c>
      <c r="AG27" s="16">
        <f t="shared" si="0"/>
        <v>1</v>
      </c>
      <c r="AH27" s="9">
        <f t="shared" si="1"/>
        <v>5</v>
      </c>
      <c r="AI27" s="9">
        <v>0</v>
      </c>
      <c r="AJ27" s="8">
        <f>'[1]2025.12.'!AL27</f>
        <v>46053</v>
      </c>
      <c r="AK27" s="8">
        <f t="shared" si="2"/>
        <v>46050</v>
      </c>
      <c r="AL27" s="8">
        <f t="shared" si="3"/>
        <v>46090</v>
      </c>
    </row>
    <row r="28" spans="1:39" x14ac:dyDescent="0.3">
      <c r="A28" s="10">
        <v>123</v>
      </c>
      <c r="B28" s="71" t="s">
        <v>5</v>
      </c>
      <c r="C28" s="97"/>
      <c r="D28" s="97"/>
      <c r="E28" s="97"/>
      <c r="F28" s="97"/>
      <c r="G28" s="97" t="s">
        <v>13</v>
      </c>
      <c r="H28" s="97"/>
      <c r="I28" s="103" t="s">
        <v>5</v>
      </c>
      <c r="J28" s="97"/>
      <c r="K28" s="97"/>
      <c r="L28" s="97"/>
      <c r="M28" s="97"/>
      <c r="N28" s="97"/>
      <c r="O28" s="97"/>
      <c r="P28" s="103" t="s">
        <v>5</v>
      </c>
      <c r="Q28" s="97"/>
      <c r="R28" s="97"/>
      <c r="S28" s="97"/>
      <c r="T28" s="97"/>
      <c r="U28" s="97"/>
      <c r="V28" s="253" t="s">
        <v>101</v>
      </c>
      <c r="W28" s="254"/>
      <c r="X28" s="254"/>
      <c r="Y28" s="254"/>
      <c r="Z28" s="254"/>
      <c r="AA28" s="249"/>
      <c r="AB28" s="97" t="s">
        <v>13</v>
      </c>
      <c r="AC28" s="97"/>
      <c r="AD28" s="97"/>
      <c r="AE28" s="97"/>
      <c r="AF28" s="72"/>
      <c r="AG28" s="102">
        <f t="shared" si="0"/>
        <v>2</v>
      </c>
      <c r="AH28" s="9">
        <f t="shared" si="1"/>
        <v>3</v>
      </c>
      <c r="AI28" s="9">
        <v>0</v>
      </c>
      <c r="AJ28" s="8">
        <f>'[1]2025.12.'!AL28</f>
        <v>46033</v>
      </c>
      <c r="AK28" s="12">
        <v>46049</v>
      </c>
      <c r="AL28" s="8">
        <f t="shared" si="3"/>
        <v>46089</v>
      </c>
    </row>
    <row r="29" spans="1:39" x14ac:dyDescent="0.3">
      <c r="A29" s="10" t="s">
        <v>10</v>
      </c>
      <c r="B29" s="75">
        <f>COUNTIF(B6:B28,"7D")</f>
        <v>3</v>
      </c>
      <c r="C29" s="94">
        <f t="shared" ref="C29:AF29" si="4">COUNTIF(C6:C28,"7D")</f>
        <v>3</v>
      </c>
      <c r="D29" s="94">
        <f t="shared" si="4"/>
        <v>3</v>
      </c>
      <c r="E29" s="94">
        <f t="shared" si="4"/>
        <v>3</v>
      </c>
      <c r="F29" s="94">
        <f t="shared" si="4"/>
        <v>3</v>
      </c>
      <c r="G29" s="94">
        <f t="shared" si="4"/>
        <v>2</v>
      </c>
      <c r="H29" s="94">
        <f t="shared" si="4"/>
        <v>3</v>
      </c>
      <c r="I29" s="94">
        <f t="shared" si="4"/>
        <v>3</v>
      </c>
      <c r="J29" s="94">
        <f t="shared" si="4"/>
        <v>3</v>
      </c>
      <c r="K29" s="94">
        <f t="shared" si="4"/>
        <v>3</v>
      </c>
      <c r="L29" s="94">
        <f t="shared" si="4"/>
        <v>3</v>
      </c>
      <c r="M29" s="94">
        <f t="shared" si="4"/>
        <v>3</v>
      </c>
      <c r="N29" s="94">
        <f t="shared" si="4"/>
        <v>3</v>
      </c>
      <c r="O29" s="94">
        <f t="shared" si="4"/>
        <v>3</v>
      </c>
      <c r="P29" s="94">
        <f t="shared" si="4"/>
        <v>3</v>
      </c>
      <c r="Q29" s="94">
        <f t="shared" si="4"/>
        <v>3</v>
      </c>
      <c r="R29" s="94">
        <f t="shared" si="4"/>
        <v>2</v>
      </c>
      <c r="S29" s="94">
        <f t="shared" si="4"/>
        <v>3</v>
      </c>
      <c r="T29" s="94">
        <f t="shared" si="4"/>
        <v>3</v>
      </c>
      <c r="U29" s="94">
        <f t="shared" si="4"/>
        <v>3</v>
      </c>
      <c r="V29" s="94">
        <f t="shared" si="4"/>
        <v>3</v>
      </c>
      <c r="W29" s="94">
        <f t="shared" si="4"/>
        <v>3</v>
      </c>
      <c r="X29" s="94">
        <f t="shared" si="4"/>
        <v>3</v>
      </c>
      <c r="Y29" s="94">
        <f t="shared" si="4"/>
        <v>2</v>
      </c>
      <c r="Z29" s="94">
        <f t="shared" si="4"/>
        <v>3</v>
      </c>
      <c r="AA29" s="94">
        <f t="shared" si="4"/>
        <v>3</v>
      </c>
      <c r="AB29" s="94">
        <f t="shared" si="4"/>
        <v>3</v>
      </c>
      <c r="AC29" s="94">
        <f t="shared" si="4"/>
        <v>3</v>
      </c>
      <c r="AD29" s="94">
        <f t="shared" si="4"/>
        <v>3</v>
      </c>
      <c r="AE29" s="94">
        <f t="shared" si="4"/>
        <v>3</v>
      </c>
      <c r="AF29" s="76">
        <f t="shared" si="4"/>
        <v>2</v>
      </c>
      <c r="AG29" s="16"/>
      <c r="AH29" s="13">
        <f>SUM(B29:AF29)</f>
        <v>89</v>
      </c>
      <c r="AI29" s="94"/>
      <c r="AJ29" s="2"/>
      <c r="AK29" s="14"/>
      <c r="AL29" s="1"/>
    </row>
    <row r="30" spans="1:39" x14ac:dyDescent="0.3">
      <c r="A30" s="10" t="s">
        <v>6</v>
      </c>
      <c r="B30" s="75">
        <v>0</v>
      </c>
      <c r="C30" s="94">
        <v>1</v>
      </c>
      <c r="D30" s="97">
        <v>0</v>
      </c>
      <c r="E30" s="97">
        <v>0</v>
      </c>
      <c r="F30" s="97">
        <v>1</v>
      </c>
      <c r="G30" s="94">
        <v>1</v>
      </c>
      <c r="H30" s="94">
        <v>1</v>
      </c>
      <c r="I30" s="94">
        <v>1</v>
      </c>
      <c r="J30" s="94">
        <v>1</v>
      </c>
      <c r="K30" s="94">
        <v>0</v>
      </c>
      <c r="L30" s="94">
        <v>0</v>
      </c>
      <c r="M30" s="94">
        <v>1</v>
      </c>
      <c r="N30" s="94">
        <v>1</v>
      </c>
      <c r="O30" s="94">
        <v>1</v>
      </c>
      <c r="P30" s="94">
        <v>1</v>
      </c>
      <c r="Q30" s="94">
        <v>1</v>
      </c>
      <c r="R30" s="94">
        <v>0</v>
      </c>
      <c r="S30" s="94">
        <v>0</v>
      </c>
      <c r="T30" s="94">
        <v>1</v>
      </c>
      <c r="U30" s="94">
        <v>1</v>
      </c>
      <c r="V30" s="94">
        <v>1</v>
      </c>
      <c r="W30" s="94">
        <v>1</v>
      </c>
      <c r="X30" s="94">
        <v>1</v>
      </c>
      <c r="Y30" s="94">
        <v>0</v>
      </c>
      <c r="Z30" s="94">
        <v>0</v>
      </c>
      <c r="AA30" s="94">
        <v>1</v>
      </c>
      <c r="AB30" s="94">
        <v>1</v>
      </c>
      <c r="AC30" s="94">
        <v>1</v>
      </c>
      <c r="AD30" s="94">
        <v>1</v>
      </c>
      <c r="AE30" s="94">
        <v>1</v>
      </c>
      <c r="AF30" s="76">
        <v>0</v>
      </c>
      <c r="AG30" s="16"/>
      <c r="AH30" s="94"/>
      <c r="AI30" s="94">
        <f>SUM(B30:AF30)</f>
        <v>21</v>
      </c>
      <c r="AJ30" s="2"/>
      <c r="AK30" s="1"/>
      <c r="AL30" s="1"/>
    </row>
    <row r="31" spans="1:39" ht="17.25" thickBot="1" x14ac:dyDescent="0.35">
      <c r="A31" s="10" t="s">
        <v>12</v>
      </c>
      <c r="B31" s="77">
        <f>COUNTIF(B6:B28,"청")</f>
        <v>0</v>
      </c>
      <c r="C31" s="78">
        <f t="shared" ref="C31:AF31" si="5">COUNTIF(C6:C28,"청")</f>
        <v>1</v>
      </c>
      <c r="D31" s="73">
        <f t="shared" si="5"/>
        <v>0</v>
      </c>
      <c r="E31" s="73">
        <f t="shared" si="5"/>
        <v>0</v>
      </c>
      <c r="F31" s="73">
        <f t="shared" si="5"/>
        <v>1</v>
      </c>
      <c r="G31" s="78">
        <f t="shared" si="5"/>
        <v>1</v>
      </c>
      <c r="H31" s="78">
        <f t="shared" si="5"/>
        <v>1</v>
      </c>
      <c r="I31" s="78">
        <f t="shared" si="5"/>
        <v>1</v>
      </c>
      <c r="J31" s="78">
        <f t="shared" si="5"/>
        <v>1</v>
      </c>
      <c r="K31" s="78">
        <f t="shared" si="5"/>
        <v>0</v>
      </c>
      <c r="L31" s="78">
        <f t="shared" si="5"/>
        <v>0</v>
      </c>
      <c r="M31" s="78">
        <f t="shared" si="5"/>
        <v>1</v>
      </c>
      <c r="N31" s="78">
        <f t="shared" si="5"/>
        <v>1</v>
      </c>
      <c r="O31" s="78">
        <f t="shared" si="5"/>
        <v>1</v>
      </c>
      <c r="P31" s="78">
        <f t="shared" si="5"/>
        <v>1</v>
      </c>
      <c r="Q31" s="78">
        <f t="shared" si="5"/>
        <v>1</v>
      </c>
      <c r="R31" s="78">
        <f t="shared" si="5"/>
        <v>0</v>
      </c>
      <c r="S31" s="78">
        <f t="shared" si="5"/>
        <v>0</v>
      </c>
      <c r="T31" s="78">
        <f t="shared" si="5"/>
        <v>1</v>
      </c>
      <c r="U31" s="78">
        <f t="shared" si="5"/>
        <v>1</v>
      </c>
      <c r="V31" s="78">
        <f t="shared" si="5"/>
        <v>1</v>
      </c>
      <c r="W31" s="73">
        <f t="shared" si="5"/>
        <v>1</v>
      </c>
      <c r="X31" s="73">
        <f t="shared" si="5"/>
        <v>1</v>
      </c>
      <c r="Y31" s="73">
        <f t="shared" si="5"/>
        <v>0</v>
      </c>
      <c r="Z31" s="78">
        <f t="shared" si="5"/>
        <v>0</v>
      </c>
      <c r="AA31" s="78">
        <f t="shared" si="5"/>
        <v>1</v>
      </c>
      <c r="AB31" s="78">
        <f t="shared" si="5"/>
        <v>1</v>
      </c>
      <c r="AC31" s="78">
        <f t="shared" si="5"/>
        <v>1</v>
      </c>
      <c r="AD31" s="78">
        <f t="shared" si="5"/>
        <v>1</v>
      </c>
      <c r="AE31" s="78">
        <f t="shared" si="5"/>
        <v>1</v>
      </c>
      <c r="AF31" s="79">
        <f t="shared" si="5"/>
        <v>0</v>
      </c>
      <c r="AG31" s="16"/>
      <c r="AH31" s="255">
        <f>SUM(B31:AF31)</f>
        <v>21</v>
      </c>
      <c r="AI31" s="255"/>
      <c r="AJ31" s="2"/>
      <c r="AK31" s="1"/>
      <c r="AL31" s="1"/>
    </row>
    <row r="32" spans="1:39" ht="17.25" thickTop="1" x14ac:dyDescent="0.3">
      <c r="A32" s="17"/>
      <c r="B32" s="17"/>
      <c r="C32" s="85"/>
      <c r="D32" s="105"/>
      <c r="E32" s="86"/>
      <c r="F32" s="106"/>
      <c r="G32" s="34"/>
      <c r="H32" s="34"/>
      <c r="I32" s="34"/>
      <c r="J32" s="34"/>
      <c r="K32" s="87"/>
      <c r="AA32" s="34"/>
      <c r="AB32" s="82"/>
    </row>
    <row r="33" spans="1:23" x14ac:dyDescent="0.3">
      <c r="A33" s="17"/>
      <c r="B33" s="17"/>
      <c r="C33" s="41"/>
      <c r="D33" s="41"/>
      <c r="E33" s="41"/>
      <c r="F33" s="41"/>
    </row>
    <row r="34" spans="1:23" x14ac:dyDescent="0.3">
      <c r="B34" s="245" t="s">
        <v>54</v>
      </c>
      <c r="C34" s="245"/>
      <c r="D34" s="245"/>
      <c r="E34" s="246">
        <v>46023</v>
      </c>
      <c r="F34" s="246"/>
      <c r="G34" s="246"/>
      <c r="H34" s="247">
        <v>46023</v>
      </c>
      <c r="I34" s="247"/>
      <c r="J34" s="247"/>
      <c r="W34" t="s">
        <v>185</v>
      </c>
    </row>
    <row r="35" spans="1:23" ht="26.25" x14ac:dyDescent="0.3">
      <c r="W35" s="217" t="s">
        <v>192</v>
      </c>
    </row>
    <row r="37" spans="1:23" x14ac:dyDescent="0.3">
      <c r="W37" t="s">
        <v>184</v>
      </c>
    </row>
    <row r="38" spans="1:23" ht="26.25" x14ac:dyDescent="0.3">
      <c r="W38" s="84" t="s">
        <v>191</v>
      </c>
    </row>
  </sheetData>
  <mergeCells count="46">
    <mergeCell ref="N3:N4"/>
    <mergeCell ref="A1:AI1"/>
    <mergeCell ref="A2:AI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T3:T4"/>
    <mergeCell ref="U3:U4"/>
    <mergeCell ref="V3:V4"/>
    <mergeCell ref="W3:W4"/>
    <mergeCell ref="X3:X4"/>
    <mergeCell ref="O3:O4"/>
    <mergeCell ref="P3:P4"/>
    <mergeCell ref="Q3:Q4"/>
    <mergeCell ref="R3:R4"/>
    <mergeCell ref="S3:S4"/>
    <mergeCell ref="AH31:AI31"/>
    <mergeCell ref="AG3:AI4"/>
    <mergeCell ref="AA3:AA4"/>
    <mergeCell ref="AB3:AB4"/>
    <mergeCell ref="AC3:AC4"/>
    <mergeCell ref="AD3:AD4"/>
    <mergeCell ref="AE3:AE4"/>
    <mergeCell ref="AF3:AF4"/>
    <mergeCell ref="V28:AA28"/>
    <mergeCell ref="AB23:AE23"/>
    <mergeCell ref="Z3:Z4"/>
    <mergeCell ref="Y3:Y4"/>
    <mergeCell ref="B34:D34"/>
    <mergeCell ref="E34:G34"/>
    <mergeCell ref="H34:J34"/>
    <mergeCell ref="B10:C10"/>
    <mergeCell ref="B19:AF19"/>
    <mergeCell ref="F25:I25"/>
    <mergeCell ref="J16:O16"/>
    <mergeCell ref="P13:U13"/>
  </mergeCells>
  <phoneticPr fontId="3" type="noConversion"/>
  <conditionalFormatting sqref="B3:AF9 D10:AF10 B11:AF12 B13:P13 V13:AF13 B14:AF15 B16:J16 P16:AF16 B17:AF18 B20:AF22 B23:AB23 AF23 B24:AF24 B25:F25 J25:AF25 B26:AF27 B28:V28 AB28:AF28 B29:AF31">
    <cfRule type="expression" dxfId="17" priority="1">
      <formula>OR(WEEKDAY(B$3,1)=7,WEEKDAY(B$3,1)=1,B$3=$E$34)</formula>
    </cfRule>
    <cfRule type="expression" dxfId="16" priority="2">
      <formula>"OR(WEEKDAY(B$3,1)=7,WEEKDAY(B$3,1)=1,B$3=$E$34)"</formula>
    </cfRule>
  </conditionalFormatting>
  <pageMargins left="0.7" right="0.7" top="0.75" bottom="0.75" header="0.3" footer="0.3"/>
  <pageSetup paperSize="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15321-81AE-4F19-B3FF-84608E289778}">
  <sheetPr>
    <pageSetUpPr fitToPage="1"/>
  </sheetPr>
  <dimension ref="A1:AM39"/>
  <sheetViews>
    <sheetView zoomScaleNormal="100" workbookViewId="0">
      <pane ySplit="5" topLeftCell="A13" activePane="bottomLeft" state="frozen"/>
      <selection pane="bottomLeft" activeCell="AP21" sqref="AP21"/>
    </sheetView>
  </sheetViews>
  <sheetFormatPr defaultRowHeight="16.5" x14ac:dyDescent="0.3"/>
  <cols>
    <col min="1" max="1" width="9.125" bestFit="1" customWidth="1"/>
    <col min="2" max="29" width="3.75" customWidth="1"/>
    <col min="30" max="31" width="3.75" hidden="1" customWidth="1"/>
    <col min="32" max="32" width="3.25" hidden="1" customWidth="1"/>
    <col min="33" max="35" width="3.75" customWidth="1"/>
    <col min="36" max="36" width="12.5" hidden="1" customWidth="1"/>
    <col min="37" max="38" width="11.25" hidden="1" customWidth="1"/>
    <col min="39" max="39" width="10.375" hidden="1" customWidth="1"/>
  </cols>
  <sheetData>
    <row r="1" spans="1:39" x14ac:dyDescent="0.3">
      <c r="A1" s="264" t="s">
        <v>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100"/>
      <c r="AK1" s="1"/>
      <c r="AL1" s="1"/>
    </row>
    <row r="2" spans="1:39" ht="17.25" thickBot="1" x14ac:dyDescent="0.35">
      <c r="A2" s="266" t="s">
        <v>151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101"/>
      <c r="AK2" s="1"/>
      <c r="AL2" s="1"/>
    </row>
    <row r="3" spans="1:39" x14ac:dyDescent="0.3">
      <c r="A3" s="268" t="s">
        <v>1</v>
      </c>
      <c r="B3" s="273">
        <v>46054</v>
      </c>
      <c r="C3" s="272">
        <v>46055</v>
      </c>
      <c r="D3" s="272">
        <v>46056</v>
      </c>
      <c r="E3" s="272">
        <v>46057</v>
      </c>
      <c r="F3" s="272">
        <v>46058</v>
      </c>
      <c r="G3" s="272">
        <v>46059</v>
      </c>
      <c r="H3" s="272">
        <v>46060</v>
      </c>
      <c r="I3" s="272">
        <v>46061</v>
      </c>
      <c r="J3" s="272">
        <v>46062</v>
      </c>
      <c r="K3" s="272">
        <v>46063</v>
      </c>
      <c r="L3" s="272">
        <v>46064</v>
      </c>
      <c r="M3" s="272">
        <v>46065</v>
      </c>
      <c r="N3" s="272">
        <v>46066</v>
      </c>
      <c r="O3" s="272">
        <v>46067</v>
      </c>
      <c r="P3" s="272">
        <v>46068</v>
      </c>
      <c r="Q3" s="272">
        <v>46069</v>
      </c>
      <c r="R3" s="272">
        <v>46070</v>
      </c>
      <c r="S3" s="272">
        <v>46071</v>
      </c>
      <c r="T3" s="272">
        <v>46072</v>
      </c>
      <c r="U3" s="272">
        <v>46073</v>
      </c>
      <c r="V3" s="272">
        <v>46074</v>
      </c>
      <c r="W3" s="272">
        <v>46075</v>
      </c>
      <c r="X3" s="272">
        <v>46076</v>
      </c>
      <c r="Y3" s="272">
        <v>46077</v>
      </c>
      <c r="Z3" s="272">
        <v>46078</v>
      </c>
      <c r="AA3" s="272">
        <v>46079</v>
      </c>
      <c r="AB3" s="272">
        <v>46080</v>
      </c>
      <c r="AC3" s="272">
        <v>46081</v>
      </c>
      <c r="AD3" s="272"/>
      <c r="AE3" s="272"/>
      <c r="AF3" s="272"/>
      <c r="AG3" s="275" t="s">
        <v>2</v>
      </c>
      <c r="AH3" s="275"/>
      <c r="AI3" s="276"/>
      <c r="AJ3" s="2"/>
      <c r="AK3" s="1"/>
      <c r="AL3" s="1"/>
    </row>
    <row r="4" spans="1:39" x14ac:dyDescent="0.3">
      <c r="A4" s="269"/>
      <c r="B4" s="274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1"/>
      <c r="X4" s="261"/>
      <c r="Y4" s="261"/>
      <c r="Z4" s="261"/>
      <c r="AA4" s="261"/>
      <c r="AB4" s="261"/>
      <c r="AC4" s="261"/>
      <c r="AD4" s="261"/>
      <c r="AE4" s="261"/>
      <c r="AF4" s="261"/>
      <c r="AG4" s="258"/>
      <c r="AH4" s="258"/>
      <c r="AI4" s="277"/>
      <c r="AJ4" s="2"/>
      <c r="AK4" s="1"/>
      <c r="AL4" s="1"/>
    </row>
    <row r="5" spans="1:39" ht="17.25" thickBot="1" x14ac:dyDescent="0.35">
      <c r="A5" s="66" t="s">
        <v>3</v>
      </c>
      <c r="B5" s="116">
        <v>46054</v>
      </c>
      <c r="C5" s="43">
        <v>46055</v>
      </c>
      <c r="D5" s="43">
        <v>46056</v>
      </c>
      <c r="E5" s="43">
        <v>46057</v>
      </c>
      <c r="F5" s="43">
        <v>46058</v>
      </c>
      <c r="G5" s="43">
        <v>46059</v>
      </c>
      <c r="H5" s="43">
        <v>46060</v>
      </c>
      <c r="I5" s="43">
        <v>46061</v>
      </c>
      <c r="J5" s="43">
        <v>46062</v>
      </c>
      <c r="K5" s="43">
        <v>46063</v>
      </c>
      <c r="L5" s="43">
        <v>46064</v>
      </c>
      <c r="M5" s="43">
        <v>46065</v>
      </c>
      <c r="N5" s="43">
        <v>46066</v>
      </c>
      <c r="O5" s="43">
        <v>46067</v>
      </c>
      <c r="P5" s="43">
        <v>46068</v>
      </c>
      <c r="Q5" s="43">
        <v>46069</v>
      </c>
      <c r="R5" s="43">
        <v>46070</v>
      </c>
      <c r="S5" s="43">
        <v>46071</v>
      </c>
      <c r="T5" s="43">
        <v>46072</v>
      </c>
      <c r="U5" s="43">
        <v>46073</v>
      </c>
      <c r="V5" s="43">
        <v>46074</v>
      </c>
      <c r="W5" s="43">
        <v>46075</v>
      </c>
      <c r="X5" s="43">
        <v>46076</v>
      </c>
      <c r="Y5" s="43">
        <v>46077</v>
      </c>
      <c r="Z5" s="43">
        <v>46078</v>
      </c>
      <c r="AA5" s="43">
        <v>46079</v>
      </c>
      <c r="AB5" s="43">
        <v>46080</v>
      </c>
      <c r="AC5" s="43">
        <v>46081</v>
      </c>
      <c r="AD5" s="43"/>
      <c r="AE5" s="43"/>
      <c r="AF5" s="43"/>
      <c r="AG5" s="113" t="s">
        <v>4</v>
      </c>
      <c r="AH5" s="5" t="s">
        <v>10</v>
      </c>
      <c r="AI5" s="117" t="s">
        <v>6</v>
      </c>
      <c r="AJ5" s="114" t="s">
        <v>7</v>
      </c>
      <c r="AK5" s="6" t="s">
        <v>8</v>
      </c>
      <c r="AL5" s="6" t="s">
        <v>9</v>
      </c>
    </row>
    <row r="6" spans="1:39" ht="17.25" thickTop="1" x14ac:dyDescent="0.3">
      <c r="A6" s="19">
        <v>101</v>
      </c>
      <c r="B6" s="118" t="s">
        <v>10</v>
      </c>
      <c r="C6" s="18"/>
      <c r="D6" s="18"/>
      <c r="E6" s="18"/>
      <c r="F6" s="18"/>
      <c r="G6" s="18"/>
      <c r="H6" s="18"/>
      <c r="I6" s="18" t="s">
        <v>10</v>
      </c>
      <c r="J6" s="18"/>
      <c r="K6" s="18"/>
      <c r="L6" s="18"/>
      <c r="M6" s="18"/>
      <c r="N6" s="18"/>
      <c r="O6" s="18"/>
      <c r="P6" s="18" t="s">
        <v>5</v>
      </c>
      <c r="Q6" s="18"/>
      <c r="R6" s="18"/>
      <c r="S6" s="18"/>
      <c r="T6" s="18"/>
      <c r="U6" s="18"/>
      <c r="V6" s="18"/>
      <c r="W6" s="18" t="s">
        <v>5</v>
      </c>
      <c r="X6" s="18"/>
      <c r="Y6" s="18"/>
      <c r="Z6" s="18"/>
      <c r="AA6" s="18"/>
      <c r="AB6" s="18"/>
      <c r="AC6" s="18"/>
      <c r="AD6" s="18"/>
      <c r="AE6" s="18"/>
      <c r="AF6" s="18"/>
      <c r="AG6" s="99">
        <f>COUNTIF(B6:AF6,"청")</f>
        <v>0</v>
      </c>
      <c r="AH6" s="112">
        <f>COUNTIF(B6:AF6,"7D")</f>
        <v>4</v>
      </c>
      <c r="AI6" s="119">
        <v>0</v>
      </c>
      <c r="AJ6" s="115">
        <f>'2026.1.'!AL6</f>
        <v>46088</v>
      </c>
      <c r="AK6" s="8" t="str">
        <f>IFERROR(INDEX($B$3:$AF$5,1,MATCH("청",B6:AF6,0)),"")</f>
        <v/>
      </c>
      <c r="AL6" s="8">
        <f>AJ6</f>
        <v>46088</v>
      </c>
      <c r="AM6" s="81"/>
    </row>
    <row r="7" spans="1:39" x14ac:dyDescent="0.3">
      <c r="A7" s="10">
        <v>102</v>
      </c>
      <c r="B7" s="120"/>
      <c r="C7" s="103"/>
      <c r="D7" s="103"/>
      <c r="E7" s="103"/>
      <c r="F7" s="103"/>
      <c r="G7" s="110" t="s">
        <v>5</v>
      </c>
      <c r="H7" s="103"/>
      <c r="I7" s="103"/>
      <c r="J7" s="103"/>
      <c r="K7" s="103"/>
      <c r="L7" s="103"/>
      <c r="M7" s="103"/>
      <c r="N7" s="110" t="s">
        <v>5</v>
      </c>
      <c r="O7" s="103"/>
      <c r="P7" s="103"/>
      <c r="Q7" s="103"/>
      <c r="R7" s="103"/>
      <c r="S7" s="103"/>
      <c r="T7" s="103"/>
      <c r="U7" s="110" t="s">
        <v>5</v>
      </c>
      <c r="V7" s="103"/>
      <c r="W7" s="103"/>
      <c r="X7" s="103"/>
      <c r="Y7" s="103"/>
      <c r="Z7" s="103"/>
      <c r="AA7" s="103"/>
      <c r="AB7" s="110" t="s">
        <v>5</v>
      </c>
      <c r="AC7" s="103"/>
      <c r="AD7" s="103"/>
      <c r="AE7" s="103"/>
      <c r="AF7" s="103"/>
      <c r="AG7" s="45">
        <f t="shared" ref="AG7:AG28" si="0">COUNTIF(B7:AF7,"청")</f>
        <v>0</v>
      </c>
      <c r="AH7" s="44">
        <f t="shared" ref="AH7:AH28" si="1">COUNTIF(B7:AF7,"7D")</f>
        <v>4</v>
      </c>
      <c r="AI7" s="121">
        <v>0</v>
      </c>
      <c r="AJ7" s="115">
        <f>'2026.1.'!AL7</f>
        <v>46091</v>
      </c>
      <c r="AK7" s="8" t="str">
        <f t="shared" ref="AK7:AK28" si="2">IFERROR(INDEX($B$3:$AF$5,1,MATCH("청",B7:AF7,0)),"")</f>
        <v/>
      </c>
      <c r="AL7" s="8">
        <f>AJ7</f>
        <v>46091</v>
      </c>
      <c r="AM7" s="81"/>
    </row>
    <row r="8" spans="1:39" x14ac:dyDescent="0.3">
      <c r="A8" s="10">
        <v>103</v>
      </c>
      <c r="B8" s="120"/>
      <c r="C8" s="253" t="s">
        <v>147</v>
      </c>
      <c r="D8" s="254"/>
      <c r="E8" s="254"/>
      <c r="F8" s="249"/>
      <c r="G8" s="103" t="s">
        <v>13</v>
      </c>
      <c r="H8" s="103"/>
      <c r="I8" s="103"/>
      <c r="J8" s="103"/>
      <c r="K8" s="103"/>
      <c r="L8" s="103"/>
      <c r="M8" s="110" t="s">
        <v>10</v>
      </c>
      <c r="N8" s="103"/>
      <c r="O8" s="103"/>
      <c r="P8" s="103"/>
      <c r="Q8" s="103"/>
      <c r="R8" s="103"/>
      <c r="S8" s="103"/>
      <c r="T8" s="110" t="s">
        <v>5</v>
      </c>
      <c r="U8" s="103"/>
      <c r="V8" s="103"/>
      <c r="W8" s="103"/>
      <c r="X8" s="103"/>
      <c r="Y8" s="103"/>
      <c r="Z8" s="103"/>
      <c r="AA8" s="110" t="s">
        <v>5</v>
      </c>
      <c r="AB8" s="103"/>
      <c r="AC8" s="103"/>
      <c r="AD8" s="103"/>
      <c r="AE8" s="103"/>
      <c r="AF8" s="103"/>
      <c r="AG8" s="16">
        <f t="shared" si="0"/>
        <v>1</v>
      </c>
      <c r="AH8" s="9">
        <f t="shared" si="1"/>
        <v>3</v>
      </c>
      <c r="AI8" s="122">
        <v>0</v>
      </c>
      <c r="AJ8" s="115">
        <f>'2026.1.'!AL8</f>
        <v>46054</v>
      </c>
      <c r="AK8" s="8">
        <f t="shared" si="2"/>
        <v>46059</v>
      </c>
      <c r="AL8" s="8">
        <f t="shared" ref="AL8:AL26" si="3">IFERROR(AK8+40,"")</f>
        <v>46099</v>
      </c>
      <c r="AM8" s="81"/>
    </row>
    <row r="9" spans="1:39" x14ac:dyDescent="0.3">
      <c r="A9" s="10">
        <v>104</v>
      </c>
      <c r="B9" s="120"/>
      <c r="C9" s="103"/>
      <c r="D9" s="103"/>
      <c r="E9" s="103"/>
      <c r="F9" s="103"/>
      <c r="G9" s="103"/>
      <c r="H9" s="110" t="s">
        <v>5</v>
      </c>
      <c r="I9" s="103"/>
      <c r="J9" s="103"/>
      <c r="K9" s="103"/>
      <c r="L9" s="103"/>
      <c r="M9" s="103"/>
      <c r="N9" s="103"/>
      <c r="O9" s="110" t="s">
        <v>5</v>
      </c>
      <c r="P9" s="103"/>
      <c r="Q9" s="103"/>
      <c r="R9" s="103"/>
      <c r="S9" s="103"/>
      <c r="T9" s="103" t="s">
        <v>13</v>
      </c>
      <c r="U9" s="103"/>
      <c r="V9" s="110" t="s">
        <v>5</v>
      </c>
      <c r="W9" s="103"/>
      <c r="X9" s="103"/>
      <c r="Y9" s="103"/>
      <c r="Z9" s="103"/>
      <c r="AA9" s="103"/>
      <c r="AB9" s="103"/>
      <c r="AC9" s="110" t="s">
        <v>5</v>
      </c>
      <c r="AD9" s="103"/>
      <c r="AE9" s="103"/>
      <c r="AF9" s="103"/>
      <c r="AG9" s="16">
        <f t="shared" si="0"/>
        <v>1</v>
      </c>
      <c r="AH9" s="9">
        <f t="shared" si="1"/>
        <v>4</v>
      </c>
      <c r="AI9" s="122">
        <v>0</v>
      </c>
      <c r="AJ9" s="115">
        <f>'2026.1.'!AL9</f>
        <v>46092</v>
      </c>
      <c r="AK9" s="8">
        <f t="shared" si="2"/>
        <v>46072</v>
      </c>
      <c r="AL9" s="8">
        <f t="shared" si="3"/>
        <v>46112</v>
      </c>
    </row>
    <row r="10" spans="1:39" x14ac:dyDescent="0.3">
      <c r="A10" s="10">
        <v>105</v>
      </c>
      <c r="B10" s="130"/>
      <c r="C10" s="103"/>
      <c r="D10" s="103"/>
      <c r="E10" s="103" t="s">
        <v>13</v>
      </c>
      <c r="F10" s="103"/>
      <c r="G10" s="110" t="s">
        <v>5</v>
      </c>
      <c r="H10" s="103"/>
      <c r="I10" s="103"/>
      <c r="J10" s="103"/>
      <c r="K10" s="103"/>
      <c r="L10" s="103"/>
      <c r="M10" s="103"/>
      <c r="N10" s="110" t="s">
        <v>5</v>
      </c>
      <c r="O10" s="103"/>
      <c r="P10" s="103"/>
      <c r="Q10" s="103"/>
      <c r="R10" s="103"/>
      <c r="S10" s="103"/>
      <c r="T10" s="103"/>
      <c r="U10" s="110" t="s">
        <v>5</v>
      </c>
      <c r="V10" s="103"/>
      <c r="W10" s="103"/>
      <c r="X10" s="103"/>
      <c r="Y10" s="103"/>
      <c r="Z10" s="103"/>
      <c r="AA10" s="103"/>
      <c r="AB10" s="110" t="s">
        <v>5</v>
      </c>
      <c r="AC10" s="103"/>
      <c r="AD10" s="103"/>
      <c r="AE10" s="103"/>
      <c r="AF10" s="103"/>
      <c r="AG10" s="16">
        <f t="shared" si="0"/>
        <v>1</v>
      </c>
      <c r="AH10" s="9">
        <f t="shared" si="1"/>
        <v>4</v>
      </c>
      <c r="AI10" s="122">
        <v>0</v>
      </c>
      <c r="AJ10" s="115">
        <f>'2026.1.'!AL10</f>
        <v>46067</v>
      </c>
      <c r="AK10" s="8">
        <f t="shared" si="2"/>
        <v>46057</v>
      </c>
      <c r="AL10" s="8">
        <f t="shared" si="3"/>
        <v>46097</v>
      </c>
      <c r="AM10" s="81"/>
    </row>
    <row r="11" spans="1:39" x14ac:dyDescent="0.3">
      <c r="A11" s="10">
        <v>106</v>
      </c>
      <c r="B11" s="120"/>
      <c r="C11" s="103"/>
      <c r="D11" s="110" t="s">
        <v>5</v>
      </c>
      <c r="E11" s="103"/>
      <c r="F11" s="103"/>
      <c r="G11" s="253" t="s">
        <v>148</v>
      </c>
      <c r="H11" s="254"/>
      <c r="I11" s="254"/>
      <c r="J11" s="254"/>
      <c r="K11" s="254"/>
      <c r="L11" s="249"/>
      <c r="M11" s="103" t="s">
        <v>13</v>
      </c>
      <c r="N11" s="103"/>
      <c r="O11" s="103"/>
      <c r="P11" s="103"/>
      <c r="Q11" s="103"/>
      <c r="R11" s="103"/>
      <c r="S11" s="110" t="s">
        <v>5</v>
      </c>
      <c r="T11" s="103"/>
      <c r="U11" s="103"/>
      <c r="V11" s="103"/>
      <c r="W11" s="103"/>
      <c r="X11" s="103"/>
      <c r="Y11" s="103"/>
      <c r="Z11" s="110" t="s">
        <v>5</v>
      </c>
      <c r="AA11" s="103"/>
      <c r="AB11" s="103"/>
      <c r="AC11" s="103"/>
      <c r="AD11" s="103"/>
      <c r="AE11" s="103"/>
      <c r="AF11" s="103"/>
      <c r="AG11" s="16">
        <f t="shared" si="0"/>
        <v>1</v>
      </c>
      <c r="AH11" s="9">
        <f t="shared" si="1"/>
        <v>3</v>
      </c>
      <c r="AI11" s="122">
        <v>0</v>
      </c>
      <c r="AJ11" s="115">
        <f>'2026.1.'!AL11</f>
        <v>46076</v>
      </c>
      <c r="AK11" s="8">
        <f t="shared" si="2"/>
        <v>46065</v>
      </c>
      <c r="AL11" s="8">
        <f t="shared" si="3"/>
        <v>46105</v>
      </c>
    </row>
    <row r="12" spans="1:39" x14ac:dyDescent="0.3">
      <c r="A12" s="10">
        <v>107</v>
      </c>
      <c r="B12" s="120"/>
      <c r="C12" s="103"/>
      <c r="D12" s="103"/>
      <c r="E12" s="110" t="s">
        <v>5</v>
      </c>
      <c r="F12" s="103"/>
      <c r="G12" s="103"/>
      <c r="H12" s="103"/>
      <c r="I12" s="103"/>
      <c r="J12" s="103" t="s">
        <v>13</v>
      </c>
      <c r="K12" s="103"/>
      <c r="L12" s="110" t="s">
        <v>5</v>
      </c>
      <c r="M12" s="103"/>
      <c r="N12" s="103"/>
      <c r="O12" s="103"/>
      <c r="P12" s="103"/>
      <c r="Q12" s="103"/>
      <c r="R12" s="103"/>
      <c r="S12" s="110" t="s">
        <v>5</v>
      </c>
      <c r="T12" s="103"/>
      <c r="U12" s="103"/>
      <c r="V12" s="103"/>
      <c r="W12" s="103"/>
      <c r="X12" s="103"/>
      <c r="Y12" s="103"/>
      <c r="Z12" s="110" t="s">
        <v>5</v>
      </c>
      <c r="AA12" s="103"/>
      <c r="AB12" s="103"/>
      <c r="AC12" s="103"/>
      <c r="AD12" s="103"/>
      <c r="AE12" s="103"/>
      <c r="AF12" s="103"/>
      <c r="AG12" s="16">
        <f t="shared" si="0"/>
        <v>1</v>
      </c>
      <c r="AH12" s="9">
        <f t="shared" si="1"/>
        <v>4</v>
      </c>
      <c r="AI12" s="122">
        <v>0</v>
      </c>
      <c r="AJ12" s="115">
        <f>'2026.1.'!AL12</f>
        <v>46064</v>
      </c>
      <c r="AK12" s="8">
        <f t="shared" si="2"/>
        <v>46062</v>
      </c>
      <c r="AL12" s="8">
        <f t="shared" si="3"/>
        <v>46102</v>
      </c>
      <c r="AM12" s="81"/>
    </row>
    <row r="13" spans="1:39" x14ac:dyDescent="0.3">
      <c r="A13" s="10">
        <v>108</v>
      </c>
      <c r="B13" s="120"/>
      <c r="C13" s="103"/>
      <c r="D13" s="110" t="s">
        <v>5</v>
      </c>
      <c r="E13" s="103"/>
      <c r="F13" s="103"/>
      <c r="G13" s="103"/>
      <c r="H13" s="103"/>
      <c r="I13" s="103"/>
      <c r="J13" s="103"/>
      <c r="K13" s="110" t="s">
        <v>5</v>
      </c>
      <c r="L13" s="103"/>
      <c r="M13" s="103"/>
      <c r="N13" s="103"/>
      <c r="O13" s="103"/>
      <c r="P13" s="103"/>
      <c r="Q13" s="110" t="s">
        <v>5</v>
      </c>
      <c r="R13" s="103"/>
      <c r="S13" s="103"/>
      <c r="T13" s="103"/>
      <c r="U13" s="103"/>
      <c r="V13" s="103"/>
      <c r="W13" s="103"/>
      <c r="X13" s="110" t="s">
        <v>5</v>
      </c>
      <c r="Y13" s="103"/>
      <c r="Z13" s="103" t="s">
        <v>13</v>
      </c>
      <c r="AA13" s="103"/>
      <c r="AB13" s="103"/>
      <c r="AC13" s="103"/>
      <c r="AD13" s="103"/>
      <c r="AE13" s="103"/>
      <c r="AF13" s="103"/>
      <c r="AG13" s="16">
        <f t="shared" si="0"/>
        <v>1</v>
      </c>
      <c r="AH13" s="9">
        <f t="shared" si="1"/>
        <v>4</v>
      </c>
      <c r="AI13" s="122">
        <v>0</v>
      </c>
      <c r="AJ13" s="115">
        <f>'2026.1.'!AL13</f>
        <v>46083</v>
      </c>
      <c r="AK13" s="8">
        <f t="shared" si="2"/>
        <v>46078</v>
      </c>
      <c r="AL13" s="8">
        <f t="shared" si="3"/>
        <v>46118</v>
      </c>
      <c r="AM13" s="80"/>
    </row>
    <row r="14" spans="1:39" x14ac:dyDescent="0.3">
      <c r="A14" s="10">
        <v>109</v>
      </c>
      <c r="B14" s="120"/>
      <c r="C14" s="103"/>
      <c r="D14" s="103"/>
      <c r="E14" s="103"/>
      <c r="F14" s="110" t="s">
        <v>5</v>
      </c>
      <c r="G14" s="103"/>
      <c r="H14" s="103"/>
      <c r="I14" s="103"/>
      <c r="J14" s="103"/>
      <c r="K14" s="103"/>
      <c r="L14" s="103"/>
      <c r="M14" s="253" t="s">
        <v>74</v>
      </c>
      <c r="N14" s="254"/>
      <c r="O14" s="254"/>
      <c r="P14" s="254"/>
      <c r="Q14" s="254"/>
      <c r="R14" s="254"/>
      <c r="S14" s="254"/>
      <c r="T14" s="254"/>
      <c r="U14" s="249"/>
      <c r="V14" s="103"/>
      <c r="W14" s="103"/>
      <c r="X14" s="103" t="s">
        <v>13</v>
      </c>
      <c r="Y14" s="103"/>
      <c r="Z14" s="103"/>
      <c r="AA14" s="103"/>
      <c r="AB14" s="110" t="s">
        <v>5</v>
      </c>
      <c r="AC14" s="103"/>
      <c r="AD14" s="103"/>
      <c r="AE14" s="103"/>
      <c r="AF14" s="103"/>
      <c r="AG14" s="16">
        <f t="shared" si="0"/>
        <v>1</v>
      </c>
      <c r="AH14" s="9">
        <f t="shared" si="1"/>
        <v>2</v>
      </c>
      <c r="AI14" s="122">
        <v>0</v>
      </c>
      <c r="AJ14" s="115">
        <f>'2026.1.'!AL14</f>
        <v>46070</v>
      </c>
      <c r="AK14" s="8">
        <f t="shared" si="2"/>
        <v>46076</v>
      </c>
      <c r="AL14" s="8">
        <f t="shared" si="3"/>
        <v>46116</v>
      </c>
    </row>
    <row r="15" spans="1:39" x14ac:dyDescent="0.3">
      <c r="A15" s="10">
        <v>110</v>
      </c>
      <c r="B15" s="120"/>
      <c r="C15" s="110" t="s">
        <v>5</v>
      </c>
      <c r="D15" s="103"/>
      <c r="E15" s="103"/>
      <c r="F15" s="103"/>
      <c r="G15" s="103"/>
      <c r="H15" s="103"/>
      <c r="I15" s="103"/>
      <c r="J15" s="110" t="s">
        <v>5</v>
      </c>
      <c r="K15" s="103"/>
      <c r="L15" s="103"/>
      <c r="M15" s="103"/>
      <c r="N15" s="103"/>
      <c r="O15" s="103"/>
      <c r="P15" s="103"/>
      <c r="Q15" s="110" t="s">
        <v>5</v>
      </c>
      <c r="R15" s="103"/>
      <c r="S15" s="103"/>
      <c r="T15" s="103"/>
      <c r="U15" s="103"/>
      <c r="V15" s="103"/>
      <c r="W15" s="103"/>
      <c r="X15" s="110" t="s">
        <v>5</v>
      </c>
      <c r="Y15" s="103" t="s">
        <v>13</v>
      </c>
      <c r="Z15" s="103"/>
      <c r="AA15" s="103"/>
      <c r="AB15" s="103"/>
      <c r="AC15" s="103"/>
      <c r="AD15" s="103"/>
      <c r="AE15" s="103"/>
      <c r="AF15" s="103"/>
      <c r="AG15" s="16">
        <f t="shared" si="0"/>
        <v>1</v>
      </c>
      <c r="AH15" s="9">
        <f t="shared" si="1"/>
        <v>4</v>
      </c>
      <c r="AI15" s="122">
        <v>0</v>
      </c>
      <c r="AJ15" s="115">
        <f>'2026.1.'!AL15</f>
        <v>46078</v>
      </c>
      <c r="AK15" s="8">
        <f t="shared" si="2"/>
        <v>46077</v>
      </c>
      <c r="AL15" s="8">
        <f t="shared" si="3"/>
        <v>46117</v>
      </c>
    </row>
    <row r="16" spans="1:39" x14ac:dyDescent="0.3">
      <c r="A16" s="10">
        <v>111</v>
      </c>
      <c r="B16" s="120"/>
      <c r="C16" s="103"/>
      <c r="D16" s="103"/>
      <c r="E16" s="110" t="s">
        <v>5</v>
      </c>
      <c r="F16" s="103"/>
      <c r="G16" s="103"/>
      <c r="H16" s="103"/>
      <c r="I16" s="103"/>
      <c r="J16" s="103"/>
      <c r="K16" s="103"/>
      <c r="L16" s="110" t="s">
        <v>5</v>
      </c>
      <c r="M16" s="103"/>
      <c r="N16" s="103"/>
      <c r="O16" s="103"/>
      <c r="P16" s="103"/>
      <c r="Q16" s="103"/>
      <c r="R16" s="110" t="s">
        <v>5</v>
      </c>
      <c r="S16" s="103"/>
      <c r="T16" s="103"/>
      <c r="U16" s="103" t="s">
        <v>13</v>
      </c>
      <c r="V16" s="103"/>
      <c r="W16" s="103"/>
      <c r="X16" s="103"/>
      <c r="Y16" s="110" t="s">
        <v>5</v>
      </c>
      <c r="Z16" s="103"/>
      <c r="AA16" s="103"/>
      <c r="AB16" s="103"/>
      <c r="AC16" s="103"/>
      <c r="AD16" s="103"/>
      <c r="AE16" s="103"/>
      <c r="AF16" s="103"/>
      <c r="AG16" s="16">
        <f t="shared" si="0"/>
        <v>1</v>
      </c>
      <c r="AH16" s="9">
        <f t="shared" si="1"/>
        <v>4</v>
      </c>
      <c r="AI16" s="122">
        <v>0</v>
      </c>
      <c r="AJ16" s="115">
        <f>'2026.1.'!AL16</f>
        <v>46077</v>
      </c>
      <c r="AK16" s="8">
        <f t="shared" si="2"/>
        <v>46073</v>
      </c>
      <c r="AL16" s="8">
        <f t="shared" si="3"/>
        <v>46113</v>
      </c>
    </row>
    <row r="17" spans="1:39" x14ac:dyDescent="0.3">
      <c r="A17" s="10">
        <v>112</v>
      </c>
      <c r="B17" s="120"/>
      <c r="C17" s="103"/>
      <c r="D17" s="103"/>
      <c r="E17" s="103"/>
      <c r="F17" s="110" t="s">
        <v>5</v>
      </c>
      <c r="G17" s="103"/>
      <c r="H17" s="103"/>
      <c r="I17" s="103"/>
      <c r="J17" s="103"/>
      <c r="K17" s="103"/>
      <c r="L17" s="103"/>
      <c r="M17" s="110" t="s">
        <v>5</v>
      </c>
      <c r="N17" s="103"/>
      <c r="O17" s="103"/>
      <c r="P17" s="103"/>
      <c r="Q17" s="103"/>
      <c r="R17" s="103"/>
      <c r="S17" s="103"/>
      <c r="T17" s="110" t="s">
        <v>5</v>
      </c>
      <c r="U17" s="103"/>
      <c r="V17" s="103"/>
      <c r="W17" s="103"/>
      <c r="X17" s="253" t="s">
        <v>149</v>
      </c>
      <c r="Y17" s="254"/>
      <c r="Z17" s="254"/>
      <c r="AA17" s="249"/>
      <c r="AB17" s="103" t="s">
        <v>13</v>
      </c>
      <c r="AC17" s="103"/>
      <c r="AD17" s="103"/>
      <c r="AE17" s="103"/>
      <c r="AF17" s="103"/>
      <c r="AG17" s="16">
        <f t="shared" si="0"/>
        <v>1</v>
      </c>
      <c r="AH17" s="9">
        <f t="shared" si="1"/>
        <v>3</v>
      </c>
      <c r="AI17" s="122">
        <v>0</v>
      </c>
      <c r="AJ17" s="115">
        <f>'2026.1.'!AL17</f>
        <v>46074</v>
      </c>
      <c r="AK17" s="8">
        <f t="shared" si="2"/>
        <v>46080</v>
      </c>
      <c r="AL17" s="8">
        <f t="shared" si="3"/>
        <v>46120</v>
      </c>
      <c r="AM17" s="81"/>
    </row>
    <row r="18" spans="1:39" x14ac:dyDescent="0.3">
      <c r="A18" s="10">
        <v>113</v>
      </c>
      <c r="B18" s="120" t="s">
        <v>5</v>
      </c>
      <c r="C18" s="103"/>
      <c r="D18" s="103"/>
      <c r="E18" s="103"/>
      <c r="F18" s="103"/>
      <c r="G18" s="103"/>
      <c r="H18" s="103"/>
      <c r="I18" s="110" t="s">
        <v>5</v>
      </c>
      <c r="J18" s="103"/>
      <c r="K18" s="103"/>
      <c r="L18" s="103"/>
      <c r="M18" s="103"/>
      <c r="N18" s="103"/>
      <c r="O18" s="103"/>
      <c r="P18" s="110" t="s">
        <v>5</v>
      </c>
      <c r="Q18" s="103"/>
      <c r="R18" s="103"/>
      <c r="S18" s="103"/>
      <c r="T18" s="103"/>
      <c r="U18" s="103"/>
      <c r="V18" s="103"/>
      <c r="W18" s="110" t="s">
        <v>5</v>
      </c>
      <c r="X18" s="103"/>
      <c r="Y18" s="103"/>
      <c r="Z18" s="103"/>
      <c r="AA18" s="103"/>
      <c r="AB18" s="103"/>
      <c r="AC18" s="103"/>
      <c r="AD18" s="103"/>
      <c r="AE18" s="103"/>
      <c r="AF18" s="103"/>
      <c r="AG18" s="16">
        <f t="shared" si="0"/>
        <v>0</v>
      </c>
      <c r="AH18" s="9">
        <f t="shared" si="1"/>
        <v>4</v>
      </c>
      <c r="AI18" s="122">
        <v>0</v>
      </c>
      <c r="AJ18" s="115">
        <f>'2026.1.'!AL18</f>
        <v>46085</v>
      </c>
      <c r="AK18" s="8" t="str">
        <f t="shared" si="2"/>
        <v/>
      </c>
      <c r="AL18" s="8">
        <f>AJ18</f>
        <v>46085</v>
      </c>
    </row>
    <row r="19" spans="1:39" x14ac:dyDescent="0.3">
      <c r="A19" s="10">
        <v>114</v>
      </c>
      <c r="B19" s="280" t="s">
        <v>145</v>
      </c>
      <c r="C19" s="281"/>
      <c r="D19" s="281"/>
      <c r="E19" s="282"/>
      <c r="F19" s="103" t="s">
        <v>13</v>
      </c>
      <c r="G19" s="103"/>
      <c r="H19" s="103"/>
      <c r="I19" s="103"/>
      <c r="J19" s="103"/>
      <c r="K19" s="103"/>
      <c r="L19" s="110" t="s">
        <v>5</v>
      </c>
      <c r="M19" s="103"/>
      <c r="N19" s="103"/>
      <c r="O19" s="103"/>
      <c r="P19" s="103"/>
      <c r="Q19" s="103"/>
      <c r="R19" s="103"/>
      <c r="S19" s="110" t="s">
        <v>5</v>
      </c>
      <c r="T19" s="103"/>
      <c r="U19" s="103"/>
      <c r="V19" s="103"/>
      <c r="W19" s="103"/>
      <c r="X19" s="103"/>
      <c r="Y19" s="103"/>
      <c r="Z19" s="110" t="s">
        <v>5</v>
      </c>
      <c r="AA19" s="103"/>
      <c r="AB19" s="103"/>
      <c r="AC19" s="103"/>
      <c r="AD19" s="35"/>
      <c r="AE19" s="35"/>
      <c r="AF19" s="35"/>
      <c r="AG19" s="16">
        <f t="shared" si="0"/>
        <v>1</v>
      </c>
      <c r="AH19" s="9">
        <f t="shared" si="1"/>
        <v>3</v>
      </c>
      <c r="AI19" s="122">
        <v>0</v>
      </c>
      <c r="AJ19" s="115">
        <f>'2026.1.'!AL19</f>
        <v>46013</v>
      </c>
      <c r="AK19" s="8">
        <f t="shared" si="2"/>
        <v>46058</v>
      </c>
      <c r="AL19" s="8">
        <f t="shared" si="3"/>
        <v>46098</v>
      </c>
      <c r="AM19" s="81"/>
    </row>
    <row r="20" spans="1:39" x14ac:dyDescent="0.3">
      <c r="A20" s="10">
        <v>115</v>
      </c>
      <c r="B20" s="120" t="s">
        <v>5</v>
      </c>
      <c r="C20" s="103"/>
      <c r="D20" s="103"/>
      <c r="E20" s="103"/>
      <c r="F20" s="103"/>
      <c r="G20" s="103"/>
      <c r="H20" s="103"/>
      <c r="I20" s="103"/>
      <c r="J20" s="283" t="s">
        <v>150</v>
      </c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Z20" s="251"/>
      <c r="AA20" s="251"/>
      <c r="AB20" s="251"/>
      <c r="AC20" s="284"/>
      <c r="AD20" s="103"/>
      <c r="AE20" s="103"/>
      <c r="AF20" s="103"/>
      <c r="AG20" s="16">
        <f t="shared" si="0"/>
        <v>0</v>
      </c>
      <c r="AH20" s="9">
        <f t="shared" si="1"/>
        <v>1</v>
      </c>
      <c r="AI20" s="122">
        <v>0</v>
      </c>
      <c r="AJ20" s="115">
        <f>'2026.1.'!AL20</f>
        <v>46082</v>
      </c>
      <c r="AK20" s="8" t="str">
        <f t="shared" si="2"/>
        <v/>
      </c>
      <c r="AL20" s="8">
        <f>AJ20</f>
        <v>46082</v>
      </c>
    </row>
    <row r="21" spans="1:39" x14ac:dyDescent="0.3">
      <c r="A21" s="10">
        <v>116</v>
      </c>
      <c r="B21" s="120"/>
      <c r="C21" s="103"/>
      <c r="D21" s="103" t="s">
        <v>13</v>
      </c>
      <c r="E21" s="103"/>
      <c r="F21" s="103" t="s">
        <v>10</v>
      </c>
      <c r="G21" s="110"/>
      <c r="H21" s="103"/>
      <c r="I21" s="103"/>
      <c r="J21" s="103"/>
      <c r="K21" s="103"/>
      <c r="L21" s="103"/>
      <c r="M21" s="103"/>
      <c r="N21" s="110" t="s">
        <v>5</v>
      </c>
      <c r="O21" s="103"/>
      <c r="P21" s="103"/>
      <c r="Q21" s="103"/>
      <c r="R21" s="103"/>
      <c r="S21" s="103"/>
      <c r="T21" s="103"/>
      <c r="U21" s="110" t="s">
        <v>5</v>
      </c>
      <c r="V21" s="103"/>
      <c r="W21" s="103"/>
      <c r="X21" s="103"/>
      <c r="Y21" s="103"/>
      <c r="Z21" s="103"/>
      <c r="AA21" s="110" t="s">
        <v>5</v>
      </c>
      <c r="AB21" s="103"/>
      <c r="AC21" s="103"/>
      <c r="AD21" s="103"/>
      <c r="AE21" s="103"/>
      <c r="AF21" s="103"/>
      <c r="AG21" s="16">
        <f t="shared" si="0"/>
        <v>1</v>
      </c>
      <c r="AH21" s="9">
        <f t="shared" si="1"/>
        <v>4</v>
      </c>
      <c r="AI21" s="122">
        <v>0</v>
      </c>
      <c r="AJ21" s="115">
        <f>'2026.1.'!AL21</f>
        <v>46061</v>
      </c>
      <c r="AK21" s="8">
        <f t="shared" si="2"/>
        <v>46056</v>
      </c>
      <c r="AL21" s="8">
        <f t="shared" si="3"/>
        <v>46096</v>
      </c>
    </row>
    <row r="22" spans="1:39" x14ac:dyDescent="0.3">
      <c r="A22" s="10">
        <v>117</v>
      </c>
      <c r="B22" s="120"/>
      <c r="C22" s="110" t="s">
        <v>5</v>
      </c>
      <c r="D22" s="103"/>
      <c r="E22" s="103"/>
      <c r="F22" s="103"/>
      <c r="G22" s="103"/>
      <c r="H22" s="103"/>
      <c r="I22" s="103"/>
      <c r="J22" s="110" t="s">
        <v>5</v>
      </c>
      <c r="K22" s="103"/>
      <c r="L22" s="103"/>
      <c r="M22" s="103"/>
      <c r="N22" s="103"/>
      <c r="O22" s="103"/>
      <c r="P22" s="103"/>
      <c r="Q22" s="110" t="s">
        <v>5</v>
      </c>
      <c r="R22" s="103"/>
      <c r="S22" s="103"/>
      <c r="T22" s="103"/>
      <c r="U22" s="103"/>
      <c r="V22" s="103"/>
      <c r="W22" s="103"/>
      <c r="X22" s="110" t="s">
        <v>5</v>
      </c>
      <c r="Y22" s="103"/>
      <c r="Z22" s="103"/>
      <c r="AA22" s="103" t="s">
        <v>13</v>
      </c>
      <c r="AB22" s="103"/>
      <c r="AC22" s="103"/>
      <c r="AD22" s="103"/>
      <c r="AE22" s="103"/>
      <c r="AF22" s="103"/>
      <c r="AG22" s="16">
        <f t="shared" si="0"/>
        <v>1</v>
      </c>
      <c r="AH22" s="9">
        <f t="shared" si="1"/>
        <v>4</v>
      </c>
      <c r="AI22" s="122">
        <v>0</v>
      </c>
      <c r="AJ22" s="115">
        <f>'2026.1.'!AL22</f>
        <v>46084</v>
      </c>
      <c r="AK22" s="8">
        <f t="shared" si="2"/>
        <v>46079</v>
      </c>
      <c r="AL22" s="8">
        <f t="shared" si="3"/>
        <v>46119</v>
      </c>
      <c r="AM22" s="81"/>
    </row>
    <row r="23" spans="1:39" x14ac:dyDescent="0.3">
      <c r="A23" s="10">
        <v>118</v>
      </c>
      <c r="B23" s="120"/>
      <c r="C23" s="103" t="s">
        <v>13</v>
      </c>
      <c r="D23" s="103"/>
      <c r="E23" s="103"/>
      <c r="F23" s="103"/>
      <c r="G23" s="103"/>
      <c r="H23" s="110" t="s">
        <v>5</v>
      </c>
      <c r="I23" s="103"/>
      <c r="J23" s="103"/>
      <c r="K23" s="103"/>
      <c r="L23" s="103"/>
      <c r="M23" s="103"/>
      <c r="N23" s="103"/>
      <c r="O23" s="110" t="s">
        <v>5</v>
      </c>
      <c r="P23" s="103"/>
      <c r="Q23" s="103"/>
      <c r="R23" s="103"/>
      <c r="S23" s="103"/>
      <c r="T23" s="103"/>
      <c r="U23" s="103"/>
      <c r="V23" s="110" t="s">
        <v>5</v>
      </c>
      <c r="W23" s="103"/>
      <c r="X23" s="103"/>
      <c r="Y23" s="103"/>
      <c r="Z23" s="103"/>
      <c r="AA23" s="103"/>
      <c r="AB23" s="103"/>
      <c r="AC23" s="110" t="s">
        <v>5</v>
      </c>
      <c r="AD23" s="103"/>
      <c r="AE23" s="103"/>
      <c r="AF23" s="103"/>
      <c r="AG23" s="16">
        <f t="shared" si="0"/>
        <v>1</v>
      </c>
      <c r="AH23" s="9">
        <f t="shared" si="1"/>
        <v>4</v>
      </c>
      <c r="AI23" s="122">
        <v>0</v>
      </c>
      <c r="AJ23" s="115">
        <f>'2026.1.'!AL23</f>
        <v>46075</v>
      </c>
      <c r="AK23" s="8">
        <f t="shared" si="2"/>
        <v>46055</v>
      </c>
      <c r="AL23" s="8">
        <f t="shared" si="3"/>
        <v>46095</v>
      </c>
      <c r="AM23" s="80" t="s">
        <v>144</v>
      </c>
    </row>
    <row r="24" spans="1:39" x14ac:dyDescent="0.3">
      <c r="A24" s="10">
        <v>119</v>
      </c>
      <c r="B24" s="120"/>
      <c r="C24" s="103"/>
      <c r="D24" s="110" t="s">
        <v>5</v>
      </c>
      <c r="E24" s="103"/>
      <c r="F24" s="103"/>
      <c r="G24" s="103"/>
      <c r="H24" s="103"/>
      <c r="I24" s="103"/>
      <c r="J24" s="103"/>
      <c r="K24" s="110" t="s">
        <v>5</v>
      </c>
      <c r="L24" s="103" t="s">
        <v>13</v>
      </c>
      <c r="M24" s="103"/>
      <c r="N24" s="103"/>
      <c r="O24" s="103"/>
      <c r="P24" s="103"/>
      <c r="Q24" s="103"/>
      <c r="R24" s="110" t="s">
        <v>5</v>
      </c>
      <c r="S24" s="103"/>
      <c r="T24" s="103"/>
      <c r="U24" s="103"/>
      <c r="V24" s="103"/>
      <c r="W24" s="103"/>
      <c r="X24" s="103"/>
      <c r="Y24" s="110" t="s">
        <v>5</v>
      </c>
      <c r="Z24" s="103"/>
      <c r="AA24" s="103"/>
      <c r="AB24" s="103"/>
      <c r="AC24" s="103"/>
      <c r="AD24" s="103"/>
      <c r="AE24" s="103"/>
      <c r="AF24" s="103"/>
      <c r="AG24" s="16">
        <f t="shared" si="0"/>
        <v>1</v>
      </c>
      <c r="AH24" s="9">
        <f t="shared" si="1"/>
        <v>4</v>
      </c>
      <c r="AI24" s="122">
        <v>0</v>
      </c>
      <c r="AJ24" s="115">
        <f>'2026.1.'!AL24</f>
        <v>46069</v>
      </c>
      <c r="AK24" s="8">
        <f t="shared" si="2"/>
        <v>46064</v>
      </c>
      <c r="AL24" s="8">
        <f t="shared" si="3"/>
        <v>46104</v>
      </c>
      <c r="AM24" s="81"/>
    </row>
    <row r="25" spans="1:39" x14ac:dyDescent="0.3">
      <c r="A25" s="10">
        <v>120</v>
      </c>
      <c r="B25" s="120"/>
      <c r="C25" s="103"/>
      <c r="D25" s="103"/>
      <c r="E25" s="103"/>
      <c r="F25" s="110"/>
      <c r="G25" s="103" t="s">
        <v>10</v>
      </c>
      <c r="H25" s="103"/>
      <c r="I25" s="103"/>
      <c r="J25" s="103"/>
      <c r="K25" s="103" t="s">
        <v>13</v>
      </c>
      <c r="L25" s="103"/>
      <c r="M25" s="110" t="s">
        <v>5</v>
      </c>
      <c r="N25" s="103"/>
      <c r="O25" s="103"/>
      <c r="P25" s="103"/>
      <c r="Q25" s="103"/>
      <c r="R25" s="103"/>
      <c r="S25" s="103"/>
      <c r="T25" s="110" t="s">
        <v>5</v>
      </c>
      <c r="U25" s="103"/>
      <c r="V25" s="103"/>
      <c r="W25" s="103"/>
      <c r="X25" s="103"/>
      <c r="Y25" s="103"/>
      <c r="Z25" s="103"/>
      <c r="AA25" s="110" t="s">
        <v>5</v>
      </c>
      <c r="AB25" s="103"/>
      <c r="AC25" s="103"/>
      <c r="AD25" s="103"/>
      <c r="AE25" s="103"/>
      <c r="AF25" s="103"/>
      <c r="AG25" s="16">
        <f t="shared" si="0"/>
        <v>1</v>
      </c>
      <c r="AH25" s="9">
        <f t="shared" si="1"/>
        <v>4</v>
      </c>
      <c r="AI25" s="122">
        <v>0</v>
      </c>
      <c r="AJ25" s="115">
        <f>'2026.1.'!AL25</f>
        <v>46071</v>
      </c>
      <c r="AK25" s="8">
        <f t="shared" si="2"/>
        <v>46063</v>
      </c>
      <c r="AL25" s="8">
        <f t="shared" si="3"/>
        <v>46103</v>
      </c>
      <c r="AM25" s="81"/>
    </row>
    <row r="26" spans="1:39" x14ac:dyDescent="0.3">
      <c r="A26" s="10">
        <v>121</v>
      </c>
      <c r="B26" s="120"/>
      <c r="C26" s="103"/>
      <c r="D26" s="103"/>
      <c r="E26" s="110" t="s">
        <v>5</v>
      </c>
      <c r="F26" s="103"/>
      <c r="G26" s="103"/>
      <c r="H26" s="103"/>
      <c r="I26" s="103"/>
      <c r="J26" s="103"/>
      <c r="K26" s="110" t="s">
        <v>5</v>
      </c>
      <c r="L26" s="103"/>
      <c r="M26" s="103"/>
      <c r="N26" s="103" t="s">
        <v>13</v>
      </c>
      <c r="O26" s="103"/>
      <c r="P26" s="103"/>
      <c r="Q26" s="103"/>
      <c r="R26" s="110" t="s">
        <v>5</v>
      </c>
      <c r="S26" s="103"/>
      <c r="T26" s="103"/>
      <c r="U26" s="103"/>
      <c r="V26" s="103"/>
      <c r="W26" s="103"/>
      <c r="X26" s="103"/>
      <c r="Y26" s="110" t="s">
        <v>5</v>
      </c>
      <c r="Z26" s="103"/>
      <c r="AA26" s="103"/>
      <c r="AB26" s="103"/>
      <c r="AC26" s="103"/>
      <c r="AD26" s="103"/>
      <c r="AE26" s="103"/>
      <c r="AF26" s="103"/>
      <c r="AG26" s="16">
        <f t="shared" si="0"/>
        <v>1</v>
      </c>
      <c r="AH26" s="9">
        <f t="shared" si="1"/>
        <v>4</v>
      </c>
      <c r="AI26" s="122">
        <v>0</v>
      </c>
      <c r="AJ26" s="115">
        <f>'2026.1.'!AL26</f>
        <v>46081</v>
      </c>
      <c r="AK26" s="8">
        <f t="shared" si="2"/>
        <v>46066</v>
      </c>
      <c r="AL26" s="8">
        <f t="shared" si="3"/>
        <v>46106</v>
      </c>
    </row>
    <row r="27" spans="1:39" x14ac:dyDescent="0.3">
      <c r="A27" s="10">
        <v>122</v>
      </c>
      <c r="B27" s="120"/>
      <c r="C27" s="103"/>
      <c r="D27" s="103"/>
      <c r="E27" s="103"/>
      <c r="F27" s="103"/>
      <c r="G27" s="103"/>
      <c r="H27" s="110" t="s">
        <v>5</v>
      </c>
      <c r="I27" s="103"/>
      <c r="J27" s="103"/>
      <c r="K27" s="103"/>
      <c r="L27" s="103"/>
      <c r="M27" s="103"/>
      <c r="N27" s="103"/>
      <c r="O27" s="110" t="s">
        <v>5</v>
      </c>
      <c r="P27" s="103"/>
      <c r="Q27" s="103"/>
      <c r="R27" s="103"/>
      <c r="S27" s="103"/>
      <c r="T27" s="103"/>
      <c r="U27" s="103"/>
      <c r="V27" s="110" t="s">
        <v>5</v>
      </c>
      <c r="W27" s="103"/>
      <c r="X27" s="103"/>
      <c r="Y27" s="103"/>
      <c r="Z27" s="103"/>
      <c r="AA27" s="103"/>
      <c r="AB27" s="103"/>
      <c r="AC27" s="110" t="s">
        <v>5</v>
      </c>
      <c r="AD27" s="103"/>
      <c r="AE27" s="103"/>
      <c r="AF27" s="103"/>
      <c r="AG27" s="16">
        <f t="shared" si="0"/>
        <v>0</v>
      </c>
      <c r="AH27" s="9">
        <f t="shared" si="1"/>
        <v>4</v>
      </c>
      <c r="AI27" s="122">
        <v>0</v>
      </c>
      <c r="AJ27" s="115">
        <f>'2026.1.'!AL27</f>
        <v>46090</v>
      </c>
      <c r="AK27" s="8" t="str">
        <f t="shared" si="2"/>
        <v/>
      </c>
      <c r="AL27" s="8">
        <f>AJ27</f>
        <v>46090</v>
      </c>
    </row>
    <row r="28" spans="1:39" x14ac:dyDescent="0.3">
      <c r="A28" s="10">
        <v>123</v>
      </c>
      <c r="B28" s="120"/>
      <c r="C28" s="110" t="s">
        <v>5</v>
      </c>
      <c r="D28" s="103"/>
      <c r="E28" s="103"/>
      <c r="F28" s="103"/>
      <c r="G28" s="103"/>
      <c r="H28" s="103"/>
      <c r="I28" s="103"/>
      <c r="J28" s="110" t="s">
        <v>5</v>
      </c>
      <c r="K28" s="103"/>
      <c r="L28" s="103"/>
      <c r="M28" s="103"/>
      <c r="N28" s="103"/>
      <c r="O28" s="103"/>
      <c r="P28" s="110" t="s">
        <v>5</v>
      </c>
      <c r="Q28" s="103"/>
      <c r="R28" s="103"/>
      <c r="S28" s="103"/>
      <c r="T28" s="103"/>
      <c r="U28" s="103"/>
      <c r="V28" s="103"/>
      <c r="W28" s="110" t="s">
        <v>5</v>
      </c>
      <c r="X28" s="103"/>
      <c r="Y28" s="103"/>
      <c r="Z28" s="103"/>
      <c r="AA28" s="103"/>
      <c r="AB28" s="103"/>
      <c r="AC28" s="103"/>
      <c r="AD28" s="103"/>
      <c r="AE28" s="103"/>
      <c r="AF28" s="103"/>
      <c r="AG28" s="16">
        <f t="shared" si="0"/>
        <v>0</v>
      </c>
      <c r="AH28" s="9">
        <f t="shared" si="1"/>
        <v>4</v>
      </c>
      <c r="AI28" s="122">
        <v>0</v>
      </c>
      <c r="AJ28" s="115">
        <f>'2026.1.'!AL28</f>
        <v>46089</v>
      </c>
      <c r="AK28" s="8" t="str">
        <f t="shared" si="2"/>
        <v/>
      </c>
      <c r="AL28" s="8">
        <f>AJ28</f>
        <v>46089</v>
      </c>
    </row>
    <row r="29" spans="1:39" x14ac:dyDescent="0.3">
      <c r="A29" s="10" t="s">
        <v>10</v>
      </c>
      <c r="B29" s="123">
        <f>COUNTIF(B6:B28,"7D")</f>
        <v>3</v>
      </c>
      <c r="C29" s="98">
        <f t="shared" ref="C29:AF29" si="4">COUNTIF(C6:C28,"7D")</f>
        <v>3</v>
      </c>
      <c r="D29" s="98">
        <f t="shared" si="4"/>
        <v>3</v>
      </c>
      <c r="E29" s="98">
        <f t="shared" si="4"/>
        <v>3</v>
      </c>
      <c r="F29" s="98">
        <f t="shared" si="4"/>
        <v>3</v>
      </c>
      <c r="G29" s="98">
        <f t="shared" si="4"/>
        <v>3</v>
      </c>
      <c r="H29" s="98">
        <f t="shared" si="4"/>
        <v>3</v>
      </c>
      <c r="I29" s="98">
        <f t="shared" si="4"/>
        <v>2</v>
      </c>
      <c r="J29" s="98">
        <f t="shared" si="4"/>
        <v>3</v>
      </c>
      <c r="K29" s="98">
        <f t="shared" si="4"/>
        <v>3</v>
      </c>
      <c r="L29" s="98">
        <f t="shared" si="4"/>
        <v>3</v>
      </c>
      <c r="M29" s="98">
        <f t="shared" si="4"/>
        <v>3</v>
      </c>
      <c r="N29" s="98">
        <f t="shared" si="4"/>
        <v>3</v>
      </c>
      <c r="O29" s="98">
        <f t="shared" si="4"/>
        <v>3</v>
      </c>
      <c r="P29" s="98">
        <f t="shared" si="4"/>
        <v>3</v>
      </c>
      <c r="Q29" s="98">
        <f t="shared" si="4"/>
        <v>3</v>
      </c>
      <c r="R29" s="98">
        <f t="shared" si="4"/>
        <v>3</v>
      </c>
      <c r="S29" s="98">
        <f t="shared" si="4"/>
        <v>3</v>
      </c>
      <c r="T29" s="98">
        <f t="shared" si="4"/>
        <v>3</v>
      </c>
      <c r="U29" s="98">
        <f t="shared" si="4"/>
        <v>3</v>
      </c>
      <c r="V29" s="98">
        <f t="shared" si="4"/>
        <v>3</v>
      </c>
      <c r="W29" s="98">
        <f t="shared" si="4"/>
        <v>3</v>
      </c>
      <c r="X29" s="98">
        <f t="shared" si="4"/>
        <v>3</v>
      </c>
      <c r="Y29" s="98">
        <f t="shared" si="4"/>
        <v>3</v>
      </c>
      <c r="Z29" s="98">
        <f t="shared" si="4"/>
        <v>3</v>
      </c>
      <c r="AA29" s="98">
        <f t="shared" si="4"/>
        <v>3</v>
      </c>
      <c r="AB29" s="98">
        <f t="shared" si="4"/>
        <v>3</v>
      </c>
      <c r="AC29" s="98">
        <f t="shared" si="4"/>
        <v>3</v>
      </c>
      <c r="AD29" s="98">
        <f t="shared" si="4"/>
        <v>0</v>
      </c>
      <c r="AE29" s="98">
        <f t="shared" si="4"/>
        <v>0</v>
      </c>
      <c r="AF29" s="98">
        <f t="shared" si="4"/>
        <v>0</v>
      </c>
      <c r="AG29" s="16"/>
      <c r="AH29" s="13">
        <f>SUM(B29:AF29)</f>
        <v>83</v>
      </c>
      <c r="AI29" s="124"/>
      <c r="AJ29" s="2"/>
      <c r="AK29" s="14"/>
      <c r="AL29" s="1"/>
    </row>
    <row r="30" spans="1:39" x14ac:dyDescent="0.3">
      <c r="A30" s="10" t="s">
        <v>6</v>
      </c>
      <c r="B30" s="123">
        <v>0</v>
      </c>
      <c r="C30" s="98">
        <v>1</v>
      </c>
      <c r="D30" s="103">
        <v>1</v>
      </c>
      <c r="E30" s="103">
        <v>1</v>
      </c>
      <c r="F30" s="103">
        <v>1</v>
      </c>
      <c r="G30" s="98">
        <v>1</v>
      </c>
      <c r="H30" s="98">
        <v>0</v>
      </c>
      <c r="I30" s="98">
        <v>0</v>
      </c>
      <c r="J30" s="98">
        <v>1</v>
      </c>
      <c r="K30" s="98">
        <v>1</v>
      </c>
      <c r="L30" s="98">
        <v>1</v>
      </c>
      <c r="M30" s="98">
        <v>1</v>
      </c>
      <c r="N30" s="98">
        <v>1</v>
      </c>
      <c r="O30" s="98">
        <v>0</v>
      </c>
      <c r="P30" s="98">
        <v>0</v>
      </c>
      <c r="Q30" s="98">
        <v>0</v>
      </c>
      <c r="R30" s="98">
        <v>0</v>
      </c>
      <c r="S30" s="98">
        <v>0</v>
      </c>
      <c r="T30" s="98">
        <v>1</v>
      </c>
      <c r="U30" s="98">
        <v>1</v>
      </c>
      <c r="V30" s="98">
        <v>0</v>
      </c>
      <c r="W30" s="98">
        <v>0</v>
      </c>
      <c r="X30" s="98">
        <v>1</v>
      </c>
      <c r="Y30" s="98">
        <v>1</v>
      </c>
      <c r="Z30" s="98">
        <v>1</v>
      </c>
      <c r="AA30" s="98">
        <v>1</v>
      </c>
      <c r="AB30" s="51">
        <v>0</v>
      </c>
      <c r="AC30" s="98">
        <v>0</v>
      </c>
      <c r="AD30" s="98">
        <v>0</v>
      </c>
      <c r="AE30" s="98">
        <v>0</v>
      </c>
      <c r="AF30" s="98">
        <v>0</v>
      </c>
      <c r="AG30" s="16"/>
      <c r="AH30" s="98"/>
      <c r="AI30" s="124">
        <f>SUM(B30:AF30)</f>
        <v>16</v>
      </c>
      <c r="AJ30" s="2"/>
      <c r="AK30" s="1"/>
      <c r="AL30" s="1"/>
    </row>
    <row r="31" spans="1:39" ht="17.25" thickBot="1" x14ac:dyDescent="0.35">
      <c r="A31" s="10" t="s">
        <v>12</v>
      </c>
      <c r="B31" s="125">
        <f>COUNTIF(B6:B28,"청")</f>
        <v>0</v>
      </c>
      <c r="C31" s="126">
        <f t="shared" ref="C31:AF31" si="5">COUNTIF(C6:C28,"청")</f>
        <v>1</v>
      </c>
      <c r="D31" s="127">
        <f t="shared" si="5"/>
        <v>1</v>
      </c>
      <c r="E31" s="127">
        <f t="shared" si="5"/>
        <v>1</v>
      </c>
      <c r="F31" s="127">
        <f t="shared" si="5"/>
        <v>1</v>
      </c>
      <c r="G31" s="126">
        <f t="shared" si="5"/>
        <v>1</v>
      </c>
      <c r="H31" s="126">
        <f t="shared" si="5"/>
        <v>0</v>
      </c>
      <c r="I31" s="126">
        <f t="shared" si="5"/>
        <v>0</v>
      </c>
      <c r="J31" s="126">
        <f t="shared" si="5"/>
        <v>1</v>
      </c>
      <c r="K31" s="126">
        <f t="shared" si="5"/>
        <v>1</v>
      </c>
      <c r="L31" s="126">
        <f t="shared" si="5"/>
        <v>1</v>
      </c>
      <c r="M31" s="126">
        <f t="shared" si="5"/>
        <v>1</v>
      </c>
      <c r="N31" s="126">
        <f t="shared" si="5"/>
        <v>1</v>
      </c>
      <c r="O31" s="126">
        <f t="shared" si="5"/>
        <v>0</v>
      </c>
      <c r="P31" s="126">
        <f t="shared" si="5"/>
        <v>0</v>
      </c>
      <c r="Q31" s="126">
        <f t="shared" si="5"/>
        <v>0</v>
      </c>
      <c r="R31" s="126">
        <f t="shared" si="5"/>
        <v>0</v>
      </c>
      <c r="S31" s="126">
        <f t="shared" si="5"/>
        <v>0</v>
      </c>
      <c r="T31" s="126">
        <f t="shared" si="5"/>
        <v>1</v>
      </c>
      <c r="U31" s="126">
        <f t="shared" si="5"/>
        <v>1</v>
      </c>
      <c r="V31" s="126">
        <f t="shared" si="5"/>
        <v>0</v>
      </c>
      <c r="W31" s="127">
        <f t="shared" si="5"/>
        <v>0</v>
      </c>
      <c r="X31" s="127">
        <f t="shared" si="5"/>
        <v>1</v>
      </c>
      <c r="Y31" s="127">
        <f t="shared" si="5"/>
        <v>1</v>
      </c>
      <c r="Z31" s="126">
        <f t="shared" si="5"/>
        <v>1</v>
      </c>
      <c r="AA31" s="126">
        <f t="shared" si="5"/>
        <v>1</v>
      </c>
      <c r="AB31" s="126">
        <f t="shared" si="5"/>
        <v>1</v>
      </c>
      <c r="AC31" s="126">
        <f t="shared" si="5"/>
        <v>0</v>
      </c>
      <c r="AD31" s="126">
        <f t="shared" si="5"/>
        <v>0</v>
      </c>
      <c r="AE31" s="126">
        <f t="shared" si="5"/>
        <v>0</v>
      </c>
      <c r="AF31" s="126">
        <f t="shared" si="5"/>
        <v>0</v>
      </c>
      <c r="AG31" s="128"/>
      <c r="AH31" s="278">
        <f>SUM(B31:AF31)</f>
        <v>17</v>
      </c>
      <c r="AI31" s="279"/>
      <c r="AJ31" s="2"/>
      <c r="AK31" s="1"/>
      <c r="AL31" s="1"/>
    </row>
    <row r="32" spans="1:39" x14ac:dyDescent="0.3">
      <c r="A32" s="17"/>
      <c r="B32" s="17"/>
      <c r="C32" s="85"/>
      <c r="D32" s="105"/>
      <c r="E32" s="86"/>
      <c r="F32" s="106"/>
      <c r="G32" s="34"/>
      <c r="H32" s="34"/>
      <c r="I32" s="34"/>
      <c r="J32" s="34"/>
      <c r="K32" s="87"/>
      <c r="AA32" s="34"/>
      <c r="AB32" s="131" t="s">
        <v>187</v>
      </c>
    </row>
    <row r="33" spans="1:23" x14ac:dyDescent="0.3">
      <c r="A33" s="17"/>
      <c r="B33" s="17"/>
      <c r="C33" s="41"/>
      <c r="D33" s="41"/>
      <c r="E33" s="41"/>
      <c r="F33" s="41"/>
    </row>
    <row r="34" spans="1:23" x14ac:dyDescent="0.3">
      <c r="B34" s="245" t="s">
        <v>55</v>
      </c>
      <c r="C34" s="245"/>
      <c r="D34" s="245"/>
      <c r="E34" s="246">
        <v>46069</v>
      </c>
      <c r="F34" s="246"/>
      <c r="G34" s="246"/>
      <c r="H34" s="247">
        <v>46069</v>
      </c>
      <c r="I34" s="247"/>
      <c r="J34" s="247"/>
    </row>
    <row r="35" spans="1:23" x14ac:dyDescent="0.3">
      <c r="B35" s="245" t="s">
        <v>56</v>
      </c>
      <c r="C35" s="245"/>
      <c r="D35" s="245"/>
      <c r="E35" s="246">
        <v>46070</v>
      </c>
      <c r="F35" s="246"/>
      <c r="G35" s="246"/>
      <c r="H35" s="247">
        <v>46070</v>
      </c>
      <c r="I35" s="247"/>
      <c r="J35" s="247"/>
      <c r="W35" t="s">
        <v>185</v>
      </c>
    </row>
    <row r="36" spans="1:23" ht="26.25" x14ac:dyDescent="0.3">
      <c r="B36" s="245" t="s">
        <v>55</v>
      </c>
      <c r="C36" s="245"/>
      <c r="D36" s="245"/>
      <c r="E36" s="246">
        <v>46071</v>
      </c>
      <c r="F36" s="246"/>
      <c r="G36" s="246"/>
      <c r="H36" s="247">
        <v>46071</v>
      </c>
      <c r="I36" s="247"/>
      <c r="J36" s="247"/>
      <c r="W36" s="217" t="s">
        <v>192</v>
      </c>
    </row>
    <row r="38" spans="1:23" x14ac:dyDescent="0.3">
      <c r="W38" t="s">
        <v>184</v>
      </c>
    </row>
    <row r="39" spans="1:23" ht="26.25" x14ac:dyDescent="0.3">
      <c r="W39" s="84" t="s">
        <v>191</v>
      </c>
    </row>
  </sheetData>
  <mergeCells count="51">
    <mergeCell ref="M14:U14"/>
    <mergeCell ref="X17:AA17"/>
    <mergeCell ref="J20:AC20"/>
    <mergeCell ref="B34:D34"/>
    <mergeCell ref="B35:D35"/>
    <mergeCell ref="B36:D36"/>
    <mergeCell ref="E34:G34"/>
    <mergeCell ref="H34:J34"/>
    <mergeCell ref="E35:G35"/>
    <mergeCell ref="H35:J35"/>
    <mergeCell ref="E36:G36"/>
    <mergeCell ref="H36:J36"/>
    <mergeCell ref="AG3:AI4"/>
    <mergeCell ref="AH31:AI31"/>
    <mergeCell ref="B19:E19"/>
    <mergeCell ref="C8:F8"/>
    <mergeCell ref="G11:L11"/>
    <mergeCell ref="AA3:AA4"/>
    <mergeCell ref="AB3:AB4"/>
    <mergeCell ref="AC3:AC4"/>
    <mergeCell ref="AD3:AD4"/>
    <mergeCell ref="AE3:AE4"/>
    <mergeCell ref="AF3:AF4"/>
    <mergeCell ref="U3:U4"/>
    <mergeCell ref="V3:V4"/>
    <mergeCell ref="W3:W4"/>
    <mergeCell ref="X3:X4"/>
    <mergeCell ref="Y3:Y4"/>
    <mergeCell ref="Z3:Z4"/>
    <mergeCell ref="O3:O4"/>
    <mergeCell ref="P3:P4"/>
    <mergeCell ref="Q3:Q4"/>
    <mergeCell ref="R3:R4"/>
    <mergeCell ref="S3:S4"/>
    <mergeCell ref="T3:T4"/>
    <mergeCell ref="N3:N4"/>
    <mergeCell ref="A1:AI1"/>
    <mergeCell ref="A2:AI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3" type="noConversion"/>
  <conditionalFormatting sqref="B3:AF7 B8:C8 G8:AF8 B9:AF9 D10:AF10 B11:G11 M11:AF11 B12:AF13 B14:M14 V14:AF14 B15:AF16 B17:X17 AB17:AF17 B18:AF18 B20:J20 AD20:AF20 B21:AF31">
    <cfRule type="expression" dxfId="15" priority="352">
      <formula>OR(WEEKDAY(B$3,1)=7,WEEKDAY(B$3,1)=1,B$3=#REF!)</formula>
    </cfRule>
    <cfRule type="expression" dxfId="14" priority="353">
      <formula>"OR(WEEKDAY(B$3,1)=7,WEEKDAY(B$3,1)=1,B$3=$E$34)"</formula>
    </cfRule>
  </conditionalFormatting>
  <conditionalFormatting sqref="B3:AF7 B8:C8 G8:AF8 B9:AF10 B11:G11 M11:AF11 B12:AF13 B14:M14 V14:AF14 B15:AF16 B17:X17 AB17:AF17 B18:AF18 F19:AF19 B20:J20 AD20:AF20 B21:AF31">
    <cfRule type="expression" dxfId="13" priority="1">
      <formula>OR(WEEKDAY(B$3,1)=7,WEEKDAY(B$3,1)=1,B$3=$E$34:$G$36)</formula>
    </cfRule>
  </conditionalFormatting>
  <pageMargins left="0.25" right="0.25" top="0.75" bottom="0.75" header="0.3" footer="0.3"/>
  <pageSetup paperSize="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39"/>
  <sheetViews>
    <sheetView zoomScaleNormal="100" workbookViewId="0">
      <pane ySplit="5" topLeftCell="A21" activePane="bottomLeft" state="frozen"/>
      <selection pane="bottomLeft" activeCell="AF39" sqref="AF39"/>
    </sheetView>
  </sheetViews>
  <sheetFormatPr defaultRowHeight="16.5" x14ac:dyDescent="0.3"/>
  <cols>
    <col min="1" max="1" width="9.125" bestFit="1" customWidth="1"/>
    <col min="2" max="31" width="3.75" customWidth="1"/>
    <col min="32" max="32" width="3.25" customWidth="1"/>
    <col min="33" max="35" width="3.75" customWidth="1"/>
    <col min="36" max="36" width="12.5" hidden="1" customWidth="1"/>
    <col min="37" max="38" width="11.25" hidden="1" customWidth="1"/>
    <col min="39" max="39" width="10.375" hidden="1" customWidth="1"/>
  </cols>
  <sheetData>
    <row r="1" spans="1:39" x14ac:dyDescent="0.3">
      <c r="A1" s="264" t="s">
        <v>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108"/>
      <c r="AK1" s="1"/>
      <c r="AL1" s="1"/>
    </row>
    <row r="2" spans="1:39" ht="17.25" thickBot="1" x14ac:dyDescent="0.35">
      <c r="A2" s="266" t="s">
        <v>153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109"/>
      <c r="AK2" s="1"/>
      <c r="AL2" s="1"/>
    </row>
    <row r="3" spans="1:39" x14ac:dyDescent="0.3">
      <c r="A3" s="268" t="s">
        <v>1</v>
      </c>
      <c r="B3" s="273">
        <v>46082</v>
      </c>
      <c r="C3" s="272">
        <v>46083</v>
      </c>
      <c r="D3" s="272">
        <v>46084</v>
      </c>
      <c r="E3" s="272">
        <v>46085</v>
      </c>
      <c r="F3" s="272">
        <v>46086</v>
      </c>
      <c r="G3" s="272">
        <v>46087</v>
      </c>
      <c r="H3" s="272">
        <v>46088</v>
      </c>
      <c r="I3" s="272">
        <v>46089</v>
      </c>
      <c r="J3" s="272">
        <v>46090</v>
      </c>
      <c r="K3" s="272">
        <v>46091</v>
      </c>
      <c r="L3" s="272">
        <v>46092</v>
      </c>
      <c r="M3" s="272">
        <v>46093</v>
      </c>
      <c r="N3" s="272">
        <v>46094</v>
      </c>
      <c r="O3" s="272">
        <v>46095</v>
      </c>
      <c r="P3" s="272">
        <v>46096</v>
      </c>
      <c r="Q3" s="272">
        <v>46097</v>
      </c>
      <c r="R3" s="272">
        <v>46098</v>
      </c>
      <c r="S3" s="272">
        <v>46099</v>
      </c>
      <c r="T3" s="272">
        <v>46100</v>
      </c>
      <c r="U3" s="272">
        <v>46101</v>
      </c>
      <c r="V3" s="272">
        <v>46102</v>
      </c>
      <c r="W3" s="272">
        <v>46103</v>
      </c>
      <c r="X3" s="272">
        <v>46104</v>
      </c>
      <c r="Y3" s="272">
        <v>46105</v>
      </c>
      <c r="Z3" s="272">
        <v>46106</v>
      </c>
      <c r="AA3" s="272">
        <v>46107</v>
      </c>
      <c r="AB3" s="272">
        <v>46108</v>
      </c>
      <c r="AC3" s="272">
        <v>46109</v>
      </c>
      <c r="AD3" s="272">
        <v>46110</v>
      </c>
      <c r="AE3" s="272">
        <v>46111</v>
      </c>
      <c r="AF3" s="272">
        <v>46112</v>
      </c>
      <c r="AG3" s="285" t="s">
        <v>2</v>
      </c>
      <c r="AH3" s="285"/>
      <c r="AI3" s="286"/>
      <c r="AJ3" s="2"/>
      <c r="AK3" s="1"/>
      <c r="AL3" s="1"/>
    </row>
    <row r="4" spans="1:39" x14ac:dyDescent="0.3">
      <c r="A4" s="269"/>
      <c r="B4" s="274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1"/>
      <c r="X4" s="261"/>
      <c r="Y4" s="261"/>
      <c r="Z4" s="261"/>
      <c r="AA4" s="261"/>
      <c r="AB4" s="261"/>
      <c r="AC4" s="261"/>
      <c r="AD4" s="261"/>
      <c r="AE4" s="261"/>
      <c r="AF4" s="261"/>
      <c r="AG4" s="255"/>
      <c r="AH4" s="255"/>
      <c r="AI4" s="287"/>
      <c r="AJ4" s="2"/>
      <c r="AK4" s="1"/>
      <c r="AL4" s="1"/>
    </row>
    <row r="5" spans="1:39" ht="17.25" thickBot="1" x14ac:dyDescent="0.35">
      <c r="A5" s="66" t="s">
        <v>3</v>
      </c>
      <c r="B5" s="116">
        <v>46082</v>
      </c>
      <c r="C5" s="43">
        <v>46083</v>
      </c>
      <c r="D5" s="43">
        <v>46084</v>
      </c>
      <c r="E5" s="43">
        <v>46085</v>
      </c>
      <c r="F5" s="43">
        <v>46086</v>
      </c>
      <c r="G5" s="43">
        <v>46087</v>
      </c>
      <c r="H5" s="43">
        <v>46088</v>
      </c>
      <c r="I5" s="43">
        <v>46089</v>
      </c>
      <c r="J5" s="43">
        <v>46090</v>
      </c>
      <c r="K5" s="43">
        <v>46091</v>
      </c>
      <c r="L5" s="43">
        <v>46092</v>
      </c>
      <c r="M5" s="43">
        <v>46093</v>
      </c>
      <c r="N5" s="43">
        <v>46094</v>
      </c>
      <c r="O5" s="43">
        <v>46095</v>
      </c>
      <c r="P5" s="43">
        <v>46096</v>
      </c>
      <c r="Q5" s="43">
        <v>46097</v>
      </c>
      <c r="R5" s="43">
        <v>46098</v>
      </c>
      <c r="S5" s="43">
        <v>46099</v>
      </c>
      <c r="T5" s="43">
        <v>46100</v>
      </c>
      <c r="U5" s="43">
        <v>46101</v>
      </c>
      <c r="V5" s="43">
        <v>46102</v>
      </c>
      <c r="W5" s="43">
        <v>46103</v>
      </c>
      <c r="X5" s="43">
        <v>46104</v>
      </c>
      <c r="Y5" s="43">
        <v>46105</v>
      </c>
      <c r="Z5" s="43">
        <v>46106</v>
      </c>
      <c r="AA5" s="43">
        <v>46107</v>
      </c>
      <c r="AB5" s="43">
        <v>46108</v>
      </c>
      <c r="AC5" s="43">
        <v>46109</v>
      </c>
      <c r="AD5" s="43">
        <v>46110</v>
      </c>
      <c r="AE5" s="43">
        <v>46111</v>
      </c>
      <c r="AF5" s="43">
        <v>46112</v>
      </c>
      <c r="AG5" s="5" t="s">
        <v>4</v>
      </c>
      <c r="AH5" s="5" t="s">
        <v>10</v>
      </c>
      <c r="AI5" s="117" t="s">
        <v>6</v>
      </c>
      <c r="AJ5" s="114" t="s">
        <v>7</v>
      </c>
      <c r="AK5" s="6" t="s">
        <v>8</v>
      </c>
      <c r="AL5" s="6" t="s">
        <v>9</v>
      </c>
    </row>
    <row r="6" spans="1:39" ht="17.25" thickTop="1" x14ac:dyDescent="0.3">
      <c r="A6" s="19">
        <v>101</v>
      </c>
      <c r="B6" s="118" t="s">
        <v>10</v>
      </c>
      <c r="C6" s="18"/>
      <c r="D6" s="18"/>
      <c r="E6" s="18"/>
      <c r="F6" s="18"/>
      <c r="G6" s="18"/>
      <c r="H6" s="18"/>
      <c r="I6" s="18"/>
      <c r="J6" s="288" t="s">
        <v>118</v>
      </c>
      <c r="K6" s="289"/>
      <c r="L6" s="289"/>
      <c r="M6" s="290"/>
      <c r="N6" s="18" t="s">
        <v>13</v>
      </c>
      <c r="O6" s="18"/>
      <c r="P6" s="18"/>
      <c r="Q6" s="18"/>
      <c r="R6" s="42"/>
      <c r="S6" s="42"/>
      <c r="T6" s="42" t="s">
        <v>5</v>
      </c>
      <c r="U6" s="42"/>
      <c r="V6" s="18"/>
      <c r="W6" s="18"/>
      <c r="X6" s="18"/>
      <c r="Y6" s="18"/>
      <c r="Z6" s="18"/>
      <c r="AA6" s="18" t="s">
        <v>5</v>
      </c>
      <c r="AB6" s="18"/>
      <c r="AC6" s="18"/>
      <c r="AD6" s="18"/>
      <c r="AE6" s="18"/>
      <c r="AF6" s="18"/>
      <c r="AG6" s="11">
        <f>COUNTIF(B6:AF6,"청")</f>
        <v>1</v>
      </c>
      <c r="AH6" s="112">
        <f>COUNTIF(B6:AF6,"7D")</f>
        <v>3</v>
      </c>
      <c r="AI6" s="119">
        <v>0</v>
      </c>
      <c r="AJ6" s="115">
        <f>'2026.2.'!AL6</f>
        <v>46088</v>
      </c>
      <c r="AK6" s="8">
        <f>IFERROR(INDEX($B$3:$AF$5,1,MATCH("청",B6:AF6,0)),"")</f>
        <v>46094</v>
      </c>
      <c r="AL6" s="8">
        <f>IFERROR(AK6+40,"")</f>
        <v>46134</v>
      </c>
      <c r="AM6" s="81"/>
    </row>
    <row r="7" spans="1:39" x14ac:dyDescent="0.3">
      <c r="A7" s="10">
        <v>102</v>
      </c>
      <c r="B7" s="120"/>
      <c r="C7" s="110"/>
      <c r="D7" s="110"/>
      <c r="E7" s="110"/>
      <c r="F7" s="110"/>
      <c r="G7" s="158" t="s">
        <v>5</v>
      </c>
      <c r="H7" s="110"/>
      <c r="I7" s="110"/>
      <c r="J7" s="110"/>
      <c r="K7" s="110" t="s">
        <v>13</v>
      </c>
      <c r="L7" s="110"/>
      <c r="M7" s="110"/>
      <c r="N7" s="158" t="s">
        <v>5</v>
      </c>
      <c r="O7" s="110"/>
      <c r="P7" s="110"/>
      <c r="Q7" s="110"/>
      <c r="R7" s="110"/>
      <c r="S7" s="110"/>
      <c r="T7" s="110"/>
      <c r="U7" s="158" t="s">
        <v>5</v>
      </c>
      <c r="V7" s="110"/>
      <c r="W7" s="110"/>
      <c r="X7" s="110"/>
      <c r="Y7" s="110"/>
      <c r="Z7" s="110"/>
      <c r="AA7" s="110"/>
      <c r="AB7" s="158" t="s">
        <v>5</v>
      </c>
      <c r="AC7" s="110"/>
      <c r="AD7" s="110"/>
      <c r="AE7" s="110"/>
      <c r="AF7" s="110"/>
      <c r="AG7" s="110">
        <f t="shared" ref="AG7:AG28" si="0">COUNTIF(B7:AF7,"청")</f>
        <v>1</v>
      </c>
      <c r="AH7" s="44">
        <f t="shared" ref="AH7:AH28" si="1">COUNTIF(B7:AF7,"7D")</f>
        <v>4</v>
      </c>
      <c r="AI7" s="121">
        <v>0</v>
      </c>
      <c r="AJ7" s="115">
        <f>'2026.2.'!AL7</f>
        <v>46091</v>
      </c>
      <c r="AK7" s="8">
        <f t="shared" ref="AK7:AK28" si="2">IFERROR(INDEX($B$3:$AF$5,1,MATCH("청",B7:AF7,0)),"")</f>
        <v>46091</v>
      </c>
      <c r="AL7" s="8">
        <f t="shared" ref="AL7:AL28" si="3">IFERROR(AK7+40,"")</f>
        <v>46131</v>
      </c>
      <c r="AM7" s="81"/>
    </row>
    <row r="8" spans="1:39" x14ac:dyDescent="0.3">
      <c r="A8" s="10">
        <v>103</v>
      </c>
      <c r="B8" s="120"/>
      <c r="C8" s="48"/>
      <c r="D8" s="35"/>
      <c r="E8" s="35"/>
      <c r="F8" s="35" t="s">
        <v>5</v>
      </c>
      <c r="G8" s="110"/>
      <c r="H8" s="110"/>
      <c r="I8" s="110"/>
      <c r="J8" s="110"/>
      <c r="K8" s="110"/>
      <c r="L8" s="110"/>
      <c r="M8" s="158" t="s">
        <v>5</v>
      </c>
      <c r="N8" s="110"/>
      <c r="O8" s="110"/>
      <c r="P8" s="110"/>
      <c r="Q8" s="110"/>
      <c r="R8" s="110" t="s">
        <v>13</v>
      </c>
      <c r="S8" s="110"/>
      <c r="T8" s="158" t="s">
        <v>5</v>
      </c>
      <c r="U8" s="110"/>
      <c r="V8" s="110"/>
      <c r="W8" s="110"/>
      <c r="X8" s="110"/>
      <c r="Y8" s="110"/>
      <c r="Z8" s="110"/>
      <c r="AA8" s="158" t="s">
        <v>5</v>
      </c>
      <c r="AB8" s="110"/>
      <c r="AC8" s="110"/>
      <c r="AD8" s="110"/>
      <c r="AE8" s="110"/>
      <c r="AF8" s="110"/>
      <c r="AG8" s="107">
        <f t="shared" si="0"/>
        <v>1</v>
      </c>
      <c r="AH8" s="9">
        <f t="shared" si="1"/>
        <v>4</v>
      </c>
      <c r="AI8" s="122">
        <v>0</v>
      </c>
      <c r="AJ8" s="115">
        <f>'2026.2.'!AL8</f>
        <v>46099</v>
      </c>
      <c r="AK8" s="8">
        <f t="shared" si="2"/>
        <v>46098</v>
      </c>
      <c r="AL8" s="8">
        <f t="shared" si="3"/>
        <v>46138</v>
      </c>
      <c r="AM8" s="81"/>
    </row>
    <row r="9" spans="1:39" x14ac:dyDescent="0.3">
      <c r="A9" s="10">
        <v>104</v>
      </c>
      <c r="B9" s="120"/>
      <c r="C9" s="110"/>
      <c r="D9" s="110"/>
      <c r="E9" s="110"/>
      <c r="F9" s="110"/>
      <c r="G9" s="110"/>
      <c r="H9" s="158" t="s">
        <v>5</v>
      </c>
      <c r="I9" s="110"/>
      <c r="J9" s="110"/>
      <c r="K9" s="110"/>
      <c r="L9" s="110"/>
      <c r="M9" s="110"/>
      <c r="N9" s="253" t="s">
        <v>73</v>
      </c>
      <c r="O9" s="254"/>
      <c r="P9" s="254"/>
      <c r="Q9" s="254"/>
      <c r="R9" s="254"/>
      <c r="S9" s="249"/>
      <c r="T9" s="110" t="s">
        <v>13</v>
      </c>
      <c r="U9" s="110"/>
      <c r="V9" s="110"/>
      <c r="W9" s="110"/>
      <c r="X9" s="110"/>
      <c r="Y9" s="110"/>
      <c r="Z9" s="158" t="s">
        <v>5</v>
      </c>
      <c r="AA9" s="110"/>
      <c r="AB9" s="110"/>
      <c r="AC9" s="110"/>
      <c r="AD9" s="110"/>
      <c r="AE9" s="110"/>
      <c r="AF9" s="110"/>
      <c r="AG9" s="107">
        <f t="shared" si="0"/>
        <v>1</v>
      </c>
      <c r="AH9" s="9">
        <f t="shared" si="1"/>
        <v>2</v>
      </c>
      <c r="AI9" s="122">
        <v>0</v>
      </c>
      <c r="AJ9" s="115">
        <f>'2026.2.'!AL9</f>
        <v>46112</v>
      </c>
      <c r="AK9" s="8">
        <f t="shared" si="2"/>
        <v>46100</v>
      </c>
      <c r="AL9" s="8">
        <f t="shared" si="3"/>
        <v>46140</v>
      </c>
    </row>
    <row r="10" spans="1:39" x14ac:dyDescent="0.3">
      <c r="A10" s="10">
        <v>105</v>
      </c>
      <c r="B10" s="120"/>
      <c r="C10" s="110"/>
      <c r="D10" s="110"/>
      <c r="E10" s="110"/>
      <c r="F10" s="110"/>
      <c r="G10" s="158" t="s">
        <v>5</v>
      </c>
      <c r="H10" s="110"/>
      <c r="I10" s="110"/>
      <c r="J10" s="110"/>
      <c r="K10" s="110"/>
      <c r="L10" s="110"/>
      <c r="M10" s="110"/>
      <c r="N10" s="158" t="s">
        <v>5</v>
      </c>
      <c r="O10" s="110"/>
      <c r="P10" s="110"/>
      <c r="Q10" s="110" t="s">
        <v>13</v>
      </c>
      <c r="R10" s="110"/>
      <c r="S10" s="110"/>
      <c r="T10" s="110"/>
      <c r="U10" s="158" t="s">
        <v>5</v>
      </c>
      <c r="V10" s="110"/>
      <c r="W10" s="110"/>
      <c r="X10" s="110"/>
      <c r="Y10" s="110"/>
      <c r="Z10" s="110"/>
      <c r="AA10" s="110"/>
      <c r="AB10" s="158" t="s">
        <v>5</v>
      </c>
      <c r="AC10" s="110"/>
      <c r="AD10" s="110"/>
      <c r="AE10" s="110"/>
      <c r="AF10" s="110"/>
      <c r="AG10" s="107">
        <f t="shared" si="0"/>
        <v>1</v>
      </c>
      <c r="AH10" s="9">
        <f t="shared" si="1"/>
        <v>4</v>
      </c>
      <c r="AI10" s="122">
        <v>0</v>
      </c>
      <c r="AJ10" s="115">
        <f>'2026.2.'!AL10</f>
        <v>46097</v>
      </c>
      <c r="AK10" s="8">
        <f t="shared" si="2"/>
        <v>46097</v>
      </c>
      <c r="AL10" s="8">
        <f t="shared" si="3"/>
        <v>46137</v>
      </c>
      <c r="AM10" s="81"/>
    </row>
    <row r="11" spans="1:39" x14ac:dyDescent="0.3">
      <c r="A11" s="10">
        <v>106</v>
      </c>
      <c r="B11" s="137"/>
      <c r="C11" s="35"/>
      <c r="D11" s="35"/>
      <c r="E11" s="35" t="s">
        <v>5</v>
      </c>
      <c r="F11" s="35"/>
      <c r="G11" s="35"/>
      <c r="H11" s="35"/>
      <c r="I11" s="35"/>
      <c r="J11" s="35"/>
      <c r="K11" s="35"/>
      <c r="L11" s="35" t="s">
        <v>5</v>
      </c>
      <c r="M11" s="110"/>
      <c r="N11" s="110"/>
      <c r="O11" s="110"/>
      <c r="P11" s="110"/>
      <c r="Q11" s="110"/>
      <c r="R11" s="110"/>
      <c r="S11" s="158" t="s">
        <v>5</v>
      </c>
      <c r="T11" s="110"/>
      <c r="U11" s="110"/>
      <c r="V11" s="110"/>
      <c r="W11" s="110"/>
      <c r="X11" s="110" t="s">
        <v>13</v>
      </c>
      <c r="Y11" s="158" t="s">
        <v>5</v>
      </c>
      <c r="Z11" s="110"/>
      <c r="AA11" s="110"/>
      <c r="AB11" s="110"/>
      <c r="AC11" s="110"/>
      <c r="AD11" s="110"/>
      <c r="AE11" s="158" t="s">
        <v>5</v>
      </c>
      <c r="AF11" s="110"/>
      <c r="AG11" s="107">
        <f t="shared" si="0"/>
        <v>1</v>
      </c>
      <c r="AH11" s="9">
        <f t="shared" si="1"/>
        <v>5</v>
      </c>
      <c r="AI11" s="122">
        <v>0</v>
      </c>
      <c r="AJ11" s="115">
        <f>'2026.2.'!AL11</f>
        <v>46105</v>
      </c>
      <c r="AK11" s="8">
        <f t="shared" si="2"/>
        <v>46104</v>
      </c>
      <c r="AL11" s="8">
        <f t="shared" si="3"/>
        <v>46144</v>
      </c>
    </row>
    <row r="12" spans="1:39" x14ac:dyDescent="0.3">
      <c r="A12" s="10">
        <v>107</v>
      </c>
      <c r="B12" s="120"/>
      <c r="C12" s="110"/>
      <c r="D12" s="110"/>
      <c r="E12" s="158" t="s">
        <v>5</v>
      </c>
      <c r="F12" s="110"/>
      <c r="G12" s="110"/>
      <c r="H12" s="110"/>
      <c r="I12" s="110"/>
      <c r="J12" s="110"/>
      <c r="K12" s="35"/>
      <c r="L12" s="35" t="s">
        <v>5</v>
      </c>
      <c r="M12" s="35"/>
      <c r="N12" s="35"/>
      <c r="O12" s="35"/>
      <c r="P12" s="35"/>
      <c r="Q12" s="35"/>
      <c r="R12" s="35"/>
      <c r="S12" s="35"/>
      <c r="T12" s="253" t="s">
        <v>75</v>
      </c>
      <c r="U12" s="254"/>
      <c r="V12" s="254"/>
      <c r="W12" s="254"/>
      <c r="X12" s="254"/>
      <c r="Y12" s="249"/>
      <c r="Z12" s="35" t="s">
        <v>13</v>
      </c>
      <c r="AA12" s="35"/>
      <c r="AB12" s="35"/>
      <c r="AC12" s="35"/>
      <c r="AD12" s="110"/>
      <c r="AE12" s="110"/>
      <c r="AF12" s="158" t="s">
        <v>5</v>
      </c>
      <c r="AG12" s="107">
        <f t="shared" si="0"/>
        <v>1</v>
      </c>
      <c r="AH12" s="9">
        <f t="shared" si="1"/>
        <v>3</v>
      </c>
      <c r="AI12" s="122">
        <v>0</v>
      </c>
      <c r="AJ12" s="115">
        <f>'2026.2.'!AL12</f>
        <v>46102</v>
      </c>
      <c r="AK12" s="8">
        <f t="shared" si="2"/>
        <v>46106</v>
      </c>
      <c r="AL12" s="8">
        <f t="shared" si="3"/>
        <v>46146</v>
      </c>
      <c r="AM12" s="81"/>
    </row>
    <row r="13" spans="1:39" x14ac:dyDescent="0.3">
      <c r="A13" s="10">
        <v>108</v>
      </c>
      <c r="B13" s="120"/>
      <c r="C13" s="158" t="s">
        <v>5</v>
      </c>
      <c r="D13" s="110"/>
      <c r="E13" s="110"/>
      <c r="F13" s="110"/>
      <c r="G13" s="110"/>
      <c r="H13" s="110"/>
      <c r="I13" s="110"/>
      <c r="J13" s="158" t="s">
        <v>5</v>
      </c>
      <c r="K13" s="110"/>
      <c r="L13" s="110"/>
      <c r="M13" s="110"/>
      <c r="N13" s="110"/>
      <c r="O13" s="110"/>
      <c r="P13" s="110"/>
      <c r="Q13" s="158" t="s">
        <v>5</v>
      </c>
      <c r="R13" s="110"/>
      <c r="S13" s="110"/>
      <c r="T13" s="110"/>
      <c r="U13" s="110"/>
      <c r="V13" s="110"/>
      <c r="W13" s="110"/>
      <c r="X13" s="158" t="s">
        <v>5</v>
      </c>
      <c r="Y13" s="110"/>
      <c r="Z13" s="110"/>
      <c r="AA13" s="110"/>
      <c r="AB13" s="110"/>
      <c r="AC13" s="110"/>
      <c r="AD13" s="158" t="s">
        <v>5</v>
      </c>
      <c r="AE13" s="110"/>
      <c r="AF13" s="110"/>
      <c r="AG13" s="107">
        <f t="shared" si="0"/>
        <v>0</v>
      </c>
      <c r="AH13" s="9">
        <f t="shared" si="1"/>
        <v>5</v>
      </c>
      <c r="AI13" s="122">
        <v>0</v>
      </c>
      <c r="AJ13" s="115">
        <f>'2026.2.'!AL13</f>
        <v>46118</v>
      </c>
      <c r="AK13" s="8" t="str">
        <f t="shared" si="2"/>
        <v/>
      </c>
      <c r="AL13" s="8">
        <f>AJ13</f>
        <v>46118</v>
      </c>
      <c r="AM13" s="80"/>
    </row>
    <row r="14" spans="1:39" x14ac:dyDescent="0.3">
      <c r="A14" s="10">
        <v>109</v>
      </c>
      <c r="B14" s="120"/>
      <c r="C14" s="110"/>
      <c r="D14" s="110"/>
      <c r="E14" s="110"/>
      <c r="F14" s="110"/>
      <c r="G14" s="158" t="s">
        <v>5</v>
      </c>
      <c r="H14" s="110"/>
      <c r="I14" s="110"/>
      <c r="J14" s="110"/>
      <c r="K14" s="110"/>
      <c r="L14" s="110"/>
      <c r="M14" s="35"/>
      <c r="N14" s="35" t="s">
        <v>5</v>
      </c>
      <c r="O14" s="35"/>
      <c r="P14" s="35"/>
      <c r="Q14" s="35"/>
      <c r="R14" s="35"/>
      <c r="S14" s="35"/>
      <c r="T14" s="35"/>
      <c r="U14" s="35" t="s">
        <v>5</v>
      </c>
      <c r="V14" s="110"/>
      <c r="W14" s="110"/>
      <c r="X14" s="110"/>
      <c r="Y14" s="110"/>
      <c r="Z14" s="110"/>
      <c r="AA14" s="110"/>
      <c r="AB14" s="35" t="s">
        <v>5</v>
      </c>
      <c r="AC14" s="35"/>
      <c r="AD14" s="110"/>
      <c r="AE14" s="110" t="s">
        <v>13</v>
      </c>
      <c r="AF14" s="110"/>
      <c r="AG14" s="107">
        <f t="shared" si="0"/>
        <v>1</v>
      </c>
      <c r="AH14" s="9">
        <f t="shared" si="1"/>
        <v>4</v>
      </c>
      <c r="AI14" s="122">
        <v>0</v>
      </c>
      <c r="AJ14" s="115">
        <f>'2026.2.'!AL14</f>
        <v>46116</v>
      </c>
      <c r="AK14" s="8">
        <f t="shared" si="2"/>
        <v>46111</v>
      </c>
      <c r="AL14" s="8">
        <f t="shared" si="3"/>
        <v>46151</v>
      </c>
    </row>
    <row r="15" spans="1:39" x14ac:dyDescent="0.3">
      <c r="A15" s="10">
        <v>110</v>
      </c>
      <c r="B15" s="137"/>
      <c r="C15" s="35" t="s">
        <v>5</v>
      </c>
      <c r="D15" s="35"/>
      <c r="E15" s="35"/>
      <c r="F15" s="110"/>
      <c r="G15" s="110"/>
      <c r="H15" s="110"/>
      <c r="I15" s="110"/>
      <c r="J15" s="158" t="s">
        <v>5</v>
      </c>
      <c r="K15" s="110"/>
      <c r="L15" s="110"/>
      <c r="M15" s="110"/>
      <c r="N15" s="110"/>
      <c r="O15" s="110"/>
      <c r="P15" s="110"/>
      <c r="Q15" s="158" t="s">
        <v>5</v>
      </c>
      <c r="R15" s="110"/>
      <c r="S15" s="110"/>
      <c r="T15" s="110"/>
      <c r="U15" s="110"/>
      <c r="V15" s="110"/>
      <c r="W15" s="110"/>
      <c r="X15" s="158" t="s">
        <v>5</v>
      </c>
      <c r="Y15" s="110" t="s">
        <v>13</v>
      </c>
      <c r="Z15" s="110"/>
      <c r="AA15" s="110"/>
      <c r="AB15" s="110"/>
      <c r="AC15" s="110"/>
      <c r="AD15" s="110"/>
      <c r="AE15" s="158" t="s">
        <v>5</v>
      </c>
      <c r="AF15" s="110"/>
      <c r="AG15" s="107">
        <f t="shared" si="0"/>
        <v>1</v>
      </c>
      <c r="AH15" s="9">
        <f t="shared" si="1"/>
        <v>5</v>
      </c>
      <c r="AI15" s="122">
        <v>0</v>
      </c>
      <c r="AJ15" s="115">
        <f>'2026.2.'!AL15</f>
        <v>46117</v>
      </c>
      <c r="AK15" s="8">
        <f t="shared" si="2"/>
        <v>46105</v>
      </c>
      <c r="AL15" s="8">
        <f t="shared" si="3"/>
        <v>46145</v>
      </c>
    </row>
    <row r="16" spans="1:39" x14ac:dyDescent="0.3">
      <c r="A16" s="10">
        <v>111</v>
      </c>
      <c r="B16" s="120"/>
      <c r="C16" s="110"/>
      <c r="D16" s="158" t="s">
        <v>5</v>
      </c>
      <c r="E16" s="110"/>
      <c r="F16" s="110"/>
      <c r="G16" s="110"/>
      <c r="H16" s="110"/>
      <c r="I16" s="110"/>
      <c r="J16" s="110"/>
      <c r="K16" s="158" t="s">
        <v>5</v>
      </c>
      <c r="L16" s="110"/>
      <c r="M16" s="110"/>
      <c r="N16" s="110"/>
      <c r="O16" s="110"/>
      <c r="P16" s="110"/>
      <c r="Q16" s="110"/>
      <c r="R16" s="158" t="s">
        <v>5</v>
      </c>
      <c r="S16" s="110"/>
      <c r="T16" s="110"/>
      <c r="U16" s="110"/>
      <c r="V16" s="35"/>
      <c r="W16" s="35"/>
      <c r="X16" s="35"/>
      <c r="Y16" s="35" t="s">
        <v>5</v>
      </c>
      <c r="Z16" s="35"/>
      <c r="AA16" s="35" t="s">
        <v>13</v>
      </c>
      <c r="AB16" s="110"/>
      <c r="AC16" s="110"/>
      <c r="AD16" s="110"/>
      <c r="AE16" s="110"/>
      <c r="AF16" s="158" t="s">
        <v>5</v>
      </c>
      <c r="AG16" s="107">
        <f t="shared" si="0"/>
        <v>1</v>
      </c>
      <c r="AH16" s="9">
        <f t="shared" si="1"/>
        <v>5</v>
      </c>
      <c r="AI16" s="122">
        <v>0</v>
      </c>
      <c r="AJ16" s="115">
        <f>'2026.2.'!AL16</f>
        <v>46113</v>
      </c>
      <c r="AK16" s="8">
        <f t="shared" si="2"/>
        <v>46107</v>
      </c>
      <c r="AL16" s="8">
        <f t="shared" si="3"/>
        <v>46147</v>
      </c>
    </row>
    <row r="17" spans="1:39" x14ac:dyDescent="0.3">
      <c r="A17" s="10">
        <v>112</v>
      </c>
      <c r="B17" s="120"/>
      <c r="C17" s="110"/>
      <c r="D17" s="110"/>
      <c r="E17" s="110"/>
      <c r="F17" s="158" t="s">
        <v>5</v>
      </c>
      <c r="G17" s="110"/>
      <c r="H17" s="110"/>
      <c r="I17" s="110"/>
      <c r="J17" s="110"/>
      <c r="K17" s="110"/>
      <c r="L17" s="110"/>
      <c r="M17" s="158" t="s">
        <v>5</v>
      </c>
      <c r="N17" s="110"/>
      <c r="O17" s="110"/>
      <c r="P17" s="110"/>
      <c r="Q17" s="110"/>
      <c r="R17" s="110"/>
      <c r="S17" s="110"/>
      <c r="T17" s="158" t="s">
        <v>5</v>
      </c>
      <c r="U17" s="110"/>
      <c r="V17" s="110"/>
      <c r="W17" s="110"/>
      <c r="X17" s="35"/>
      <c r="Y17" s="35"/>
      <c r="Z17" s="35"/>
      <c r="AA17" s="35" t="s">
        <v>5</v>
      </c>
      <c r="AB17" s="110"/>
      <c r="AC17" s="110"/>
      <c r="AD17" s="110"/>
      <c r="AE17" s="110"/>
      <c r="AF17" s="110"/>
      <c r="AG17" s="107">
        <f t="shared" si="0"/>
        <v>0</v>
      </c>
      <c r="AH17" s="9">
        <f t="shared" si="1"/>
        <v>4</v>
      </c>
      <c r="AI17" s="122">
        <v>0</v>
      </c>
      <c r="AJ17" s="115">
        <f>'2026.2.'!AL17</f>
        <v>46120</v>
      </c>
      <c r="AK17" s="8" t="str">
        <f t="shared" si="2"/>
        <v/>
      </c>
      <c r="AL17" s="8">
        <f>AJ17</f>
        <v>46120</v>
      </c>
      <c r="AM17" s="81"/>
    </row>
    <row r="18" spans="1:39" x14ac:dyDescent="0.3">
      <c r="A18" s="10">
        <v>113</v>
      </c>
      <c r="B18" s="120" t="s">
        <v>5</v>
      </c>
      <c r="C18" s="110"/>
      <c r="D18" s="110" t="s">
        <v>13</v>
      </c>
      <c r="E18" s="110"/>
      <c r="F18" s="35"/>
      <c r="G18" s="35"/>
      <c r="H18" s="35"/>
      <c r="I18" s="35" t="s">
        <v>5</v>
      </c>
      <c r="J18" s="35"/>
      <c r="K18" s="35"/>
      <c r="L18" s="110"/>
      <c r="M18" s="110"/>
      <c r="N18" s="110"/>
      <c r="O18" s="110"/>
      <c r="P18" s="158" t="s">
        <v>5</v>
      </c>
      <c r="Q18" s="110"/>
      <c r="R18" s="110"/>
      <c r="S18" s="110"/>
      <c r="T18" s="110"/>
      <c r="U18" s="110"/>
      <c r="V18" s="110"/>
      <c r="W18" s="158" t="s">
        <v>5</v>
      </c>
      <c r="X18" s="110"/>
      <c r="Y18" s="110"/>
      <c r="Z18" s="110"/>
      <c r="AA18" s="110"/>
      <c r="AB18" s="110"/>
      <c r="AC18" s="110"/>
      <c r="AD18" s="158" t="s">
        <v>5</v>
      </c>
      <c r="AE18" s="110"/>
      <c r="AF18" s="110"/>
      <c r="AG18" s="107">
        <f t="shared" si="0"/>
        <v>1</v>
      </c>
      <c r="AH18" s="9">
        <f t="shared" si="1"/>
        <v>5</v>
      </c>
      <c r="AI18" s="122">
        <v>0</v>
      </c>
      <c r="AJ18" s="115">
        <f>'2026.2.'!AL18</f>
        <v>46085</v>
      </c>
      <c r="AK18" s="8">
        <f t="shared" si="2"/>
        <v>46084</v>
      </c>
      <c r="AL18" s="8">
        <f t="shared" si="3"/>
        <v>46124</v>
      </c>
    </row>
    <row r="19" spans="1:39" x14ac:dyDescent="0.3">
      <c r="A19" s="10">
        <v>114</v>
      </c>
      <c r="B19" s="140"/>
      <c r="C19" s="138"/>
      <c r="D19" s="138" t="s">
        <v>5</v>
      </c>
      <c r="E19" s="138"/>
      <c r="F19" s="110"/>
      <c r="G19" s="110"/>
      <c r="H19" s="110"/>
      <c r="I19" s="110"/>
      <c r="J19" s="110"/>
      <c r="K19" s="158" t="s">
        <v>5</v>
      </c>
      <c r="L19" s="110"/>
      <c r="M19" s="110"/>
      <c r="N19" s="110"/>
      <c r="O19" s="110"/>
      <c r="P19" s="110"/>
      <c r="Q19" s="110"/>
      <c r="R19" s="158" t="s">
        <v>5</v>
      </c>
      <c r="S19" s="110" t="s">
        <v>13</v>
      </c>
      <c r="T19" s="110"/>
      <c r="U19" s="110"/>
      <c r="V19" s="110"/>
      <c r="W19" s="110"/>
      <c r="X19" s="110"/>
      <c r="Y19" s="158" t="s">
        <v>5</v>
      </c>
      <c r="Z19" s="110"/>
      <c r="AA19" s="110"/>
      <c r="AB19" s="110"/>
      <c r="AC19" s="110"/>
      <c r="AD19" s="35"/>
      <c r="AE19" s="35"/>
      <c r="AF19" s="35" t="s">
        <v>5</v>
      </c>
      <c r="AG19" s="107">
        <f t="shared" si="0"/>
        <v>1</v>
      </c>
      <c r="AH19" s="9">
        <f t="shared" si="1"/>
        <v>5</v>
      </c>
      <c r="AI19" s="122">
        <v>0</v>
      </c>
      <c r="AJ19" s="115">
        <f>'2026.2.'!AL19</f>
        <v>46098</v>
      </c>
      <c r="AK19" s="8">
        <f t="shared" si="2"/>
        <v>46099</v>
      </c>
      <c r="AL19" s="8">
        <f t="shared" si="3"/>
        <v>46139</v>
      </c>
      <c r="AM19" s="81"/>
    </row>
    <row r="20" spans="1:39" x14ac:dyDescent="0.3">
      <c r="A20" s="10">
        <v>115</v>
      </c>
      <c r="B20" s="291" t="s">
        <v>150</v>
      </c>
      <c r="C20" s="251"/>
      <c r="D20" s="251"/>
      <c r="E20" s="251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Z20" s="251"/>
      <c r="AA20" s="251"/>
      <c r="AB20" s="251"/>
      <c r="AC20" s="251"/>
      <c r="AD20" s="251"/>
      <c r="AE20" s="284"/>
      <c r="AF20" s="110" t="s">
        <v>13</v>
      </c>
      <c r="AG20" s="107">
        <f t="shared" si="0"/>
        <v>1</v>
      </c>
      <c r="AH20" s="9">
        <f t="shared" si="1"/>
        <v>0</v>
      </c>
      <c r="AI20" s="122">
        <v>0</v>
      </c>
      <c r="AJ20" s="115">
        <f>'2026.2.'!AL20</f>
        <v>46082</v>
      </c>
      <c r="AK20" s="8">
        <f t="shared" si="2"/>
        <v>46112</v>
      </c>
      <c r="AL20" s="8">
        <f t="shared" si="3"/>
        <v>46152</v>
      </c>
    </row>
    <row r="21" spans="1:39" x14ac:dyDescent="0.3">
      <c r="A21" s="10">
        <v>116</v>
      </c>
      <c r="B21" s="120"/>
      <c r="C21" s="110"/>
      <c r="D21" s="110"/>
      <c r="E21" s="158" t="s">
        <v>5</v>
      </c>
      <c r="F21" s="110"/>
      <c r="G21" s="110"/>
      <c r="H21" s="110"/>
      <c r="I21" s="110"/>
      <c r="J21" s="110"/>
      <c r="K21" s="110"/>
      <c r="L21" s="158" t="s">
        <v>5</v>
      </c>
      <c r="M21" s="110" t="s">
        <v>13</v>
      </c>
      <c r="N21" s="110"/>
      <c r="O21" s="110"/>
      <c r="P21" s="110"/>
      <c r="Q21" s="110"/>
      <c r="R21" s="110"/>
      <c r="S21" s="158" t="s">
        <v>5</v>
      </c>
      <c r="T21" s="110"/>
      <c r="U21" s="110"/>
      <c r="V21" s="110"/>
      <c r="W21" s="110"/>
      <c r="X21" s="110"/>
      <c r="Y21" s="110"/>
      <c r="Z21" s="158" t="s">
        <v>5</v>
      </c>
      <c r="AA21" s="110"/>
      <c r="AB21" s="110"/>
      <c r="AC21" s="110"/>
      <c r="AD21" s="110"/>
      <c r="AE21" s="110"/>
      <c r="AF21" s="110"/>
      <c r="AG21" s="107">
        <f t="shared" si="0"/>
        <v>1</v>
      </c>
      <c r="AH21" s="9">
        <f t="shared" si="1"/>
        <v>4</v>
      </c>
      <c r="AI21" s="122">
        <v>0</v>
      </c>
      <c r="AJ21" s="115">
        <f>'2026.2.'!AL21</f>
        <v>46096</v>
      </c>
      <c r="AK21" s="8">
        <f t="shared" si="2"/>
        <v>46093</v>
      </c>
      <c r="AL21" s="8">
        <f t="shared" si="3"/>
        <v>46133</v>
      </c>
    </row>
    <row r="22" spans="1:39" x14ac:dyDescent="0.3">
      <c r="A22" s="10">
        <v>117</v>
      </c>
      <c r="B22" s="120"/>
      <c r="C22" s="158" t="s">
        <v>5</v>
      </c>
      <c r="D22" s="110"/>
      <c r="E22" s="110"/>
      <c r="F22" s="110"/>
      <c r="G22" s="110"/>
      <c r="H22" s="110"/>
      <c r="I22" s="110"/>
      <c r="J22" s="158" t="s">
        <v>5</v>
      </c>
      <c r="K22" s="110"/>
      <c r="L22" s="110"/>
      <c r="M22" s="110"/>
      <c r="N22" s="110"/>
      <c r="O22" s="110"/>
      <c r="P22" s="110"/>
      <c r="Q22" s="158" t="s">
        <v>5</v>
      </c>
      <c r="R22" s="110"/>
      <c r="S22" s="110"/>
      <c r="T22" s="110"/>
      <c r="U22" s="110"/>
      <c r="V22" s="110"/>
      <c r="W22" s="110"/>
      <c r="X22" s="158" t="s">
        <v>5</v>
      </c>
      <c r="Y22" s="110"/>
      <c r="Z22" s="110"/>
      <c r="AA22" s="110"/>
      <c r="AB22" s="110"/>
      <c r="AC22" s="110"/>
      <c r="AD22" s="110"/>
      <c r="AE22" s="158"/>
      <c r="AF22" s="47"/>
      <c r="AG22" s="107">
        <f t="shared" si="0"/>
        <v>0</v>
      </c>
      <c r="AH22" s="9">
        <f t="shared" si="1"/>
        <v>4</v>
      </c>
      <c r="AI22" s="122">
        <v>0</v>
      </c>
      <c r="AJ22" s="115">
        <f>'2026.2.'!AL22</f>
        <v>46119</v>
      </c>
      <c r="AK22" s="8" t="str">
        <f t="shared" si="2"/>
        <v/>
      </c>
      <c r="AL22" s="8">
        <f>AJ22</f>
        <v>46119</v>
      </c>
      <c r="AM22" s="81"/>
    </row>
    <row r="23" spans="1:39" x14ac:dyDescent="0.3">
      <c r="A23" s="10">
        <v>118</v>
      </c>
      <c r="B23" s="120"/>
      <c r="C23" s="110"/>
      <c r="D23" s="110"/>
      <c r="E23" s="110"/>
      <c r="F23" s="110"/>
      <c r="G23" s="110"/>
      <c r="H23" s="158" t="s">
        <v>5</v>
      </c>
      <c r="I23" s="110"/>
      <c r="J23" s="110"/>
      <c r="K23" s="110"/>
      <c r="L23" s="110" t="s">
        <v>13</v>
      </c>
      <c r="M23" s="110"/>
      <c r="N23" s="110"/>
      <c r="O23" s="158" t="s">
        <v>5</v>
      </c>
      <c r="P23" s="110"/>
      <c r="Q23" s="110"/>
      <c r="R23" s="110"/>
      <c r="S23" s="110"/>
      <c r="T23" s="110"/>
      <c r="U23" s="110"/>
      <c r="V23" s="158" t="s">
        <v>5</v>
      </c>
      <c r="W23" s="110"/>
      <c r="X23" s="110"/>
      <c r="Y23" s="110"/>
      <c r="Z23" s="110"/>
      <c r="AA23" s="110"/>
      <c r="AB23" s="110"/>
      <c r="AC23" s="158" t="s">
        <v>5</v>
      </c>
      <c r="AD23" s="110"/>
      <c r="AE23" s="110"/>
      <c r="AF23" s="110"/>
      <c r="AG23" s="107">
        <f t="shared" si="0"/>
        <v>1</v>
      </c>
      <c r="AH23" s="9">
        <f t="shared" si="1"/>
        <v>4</v>
      </c>
      <c r="AI23" s="122">
        <v>0</v>
      </c>
      <c r="AJ23" s="115">
        <f>'2026.2.'!AL23</f>
        <v>46095</v>
      </c>
      <c r="AK23" s="8">
        <f t="shared" si="2"/>
        <v>46092</v>
      </c>
      <c r="AL23" s="8">
        <f t="shared" si="3"/>
        <v>46132</v>
      </c>
      <c r="AM23" s="80"/>
    </row>
    <row r="24" spans="1:39" x14ac:dyDescent="0.3">
      <c r="A24" s="10">
        <v>119</v>
      </c>
      <c r="B24" s="120"/>
      <c r="C24" s="110"/>
      <c r="D24" s="158" t="s">
        <v>5</v>
      </c>
      <c r="E24" s="110"/>
      <c r="F24" s="110" t="s">
        <v>13</v>
      </c>
      <c r="G24" s="110"/>
      <c r="H24" s="110"/>
      <c r="I24" s="110"/>
      <c r="J24" s="110"/>
      <c r="K24" s="158" t="s">
        <v>5</v>
      </c>
      <c r="L24" s="110"/>
      <c r="M24" s="110"/>
      <c r="N24" s="110"/>
      <c r="O24" s="110"/>
      <c r="P24" s="110"/>
      <c r="Q24" s="110"/>
      <c r="R24" s="158" t="s">
        <v>5</v>
      </c>
      <c r="S24" s="110"/>
      <c r="T24" s="110"/>
      <c r="U24" s="110"/>
      <c r="V24" s="110"/>
      <c r="W24" s="110"/>
      <c r="X24" s="110"/>
      <c r="Y24" s="110"/>
      <c r="Z24" s="253" t="s">
        <v>119</v>
      </c>
      <c r="AA24" s="254"/>
      <c r="AB24" s="254"/>
      <c r="AC24" s="254"/>
      <c r="AD24" s="254"/>
      <c r="AE24" s="249"/>
      <c r="AF24" s="110"/>
      <c r="AG24" s="107">
        <f t="shared" si="0"/>
        <v>1</v>
      </c>
      <c r="AH24" s="9">
        <f t="shared" si="1"/>
        <v>3</v>
      </c>
      <c r="AI24" s="122">
        <v>0</v>
      </c>
      <c r="AJ24" s="115">
        <f>'2026.2.'!AL24</f>
        <v>46104</v>
      </c>
      <c r="AK24" s="8">
        <f t="shared" si="2"/>
        <v>46086</v>
      </c>
      <c r="AL24" s="8">
        <f t="shared" si="3"/>
        <v>46126</v>
      </c>
      <c r="AM24" s="80" t="s">
        <v>154</v>
      </c>
    </row>
    <row r="25" spans="1:39" x14ac:dyDescent="0.3">
      <c r="A25" s="10">
        <v>120</v>
      </c>
      <c r="B25" s="120"/>
      <c r="C25" s="110"/>
      <c r="D25" s="110"/>
      <c r="E25" s="110"/>
      <c r="F25" s="158" t="s">
        <v>5</v>
      </c>
      <c r="G25" s="110"/>
      <c r="H25" s="110"/>
      <c r="I25" s="110"/>
      <c r="J25" s="110"/>
      <c r="K25" s="110"/>
      <c r="L25" s="110"/>
      <c r="M25" s="158" t="s">
        <v>5</v>
      </c>
      <c r="N25" s="110"/>
      <c r="O25" s="110"/>
      <c r="P25" s="110"/>
      <c r="Q25" s="110"/>
      <c r="R25" s="110"/>
      <c r="S25" s="158" t="s">
        <v>5</v>
      </c>
      <c r="T25" s="110"/>
      <c r="U25" s="110" t="s">
        <v>13</v>
      </c>
      <c r="V25" s="110"/>
      <c r="W25" s="110"/>
      <c r="X25" s="110"/>
      <c r="Y25" s="110"/>
      <c r="Z25" s="158" t="s">
        <v>5</v>
      </c>
      <c r="AA25" s="110"/>
      <c r="AB25" s="110"/>
      <c r="AC25" s="110"/>
      <c r="AD25" s="110"/>
      <c r="AE25" s="110"/>
      <c r="AF25" s="110"/>
      <c r="AG25" s="107">
        <f t="shared" si="0"/>
        <v>1</v>
      </c>
      <c r="AH25" s="9">
        <f t="shared" si="1"/>
        <v>4</v>
      </c>
      <c r="AI25" s="122">
        <v>0</v>
      </c>
      <c r="AJ25" s="115">
        <f>'2026.2.'!AL25</f>
        <v>46103</v>
      </c>
      <c r="AK25" s="8">
        <f t="shared" si="2"/>
        <v>46101</v>
      </c>
      <c r="AL25" s="8">
        <f t="shared" si="3"/>
        <v>46141</v>
      </c>
      <c r="AM25" s="81"/>
    </row>
    <row r="26" spans="1:39" x14ac:dyDescent="0.3">
      <c r="A26" s="10">
        <v>121</v>
      </c>
      <c r="B26" s="120"/>
      <c r="C26" s="110"/>
      <c r="D26" s="253" t="s">
        <v>117</v>
      </c>
      <c r="E26" s="254"/>
      <c r="F26" s="254"/>
      <c r="G26" s="249"/>
      <c r="H26" s="110"/>
      <c r="I26" s="110"/>
      <c r="J26" s="110" t="s">
        <v>13</v>
      </c>
      <c r="K26" s="110"/>
      <c r="L26" s="35"/>
      <c r="M26" s="35"/>
      <c r="N26" s="35"/>
      <c r="O26" s="35" t="s">
        <v>5</v>
      </c>
      <c r="P26" s="110"/>
      <c r="Q26" s="110"/>
      <c r="R26" s="110"/>
      <c r="S26" s="110"/>
      <c r="T26" s="110"/>
      <c r="U26" s="110"/>
      <c r="V26" s="158" t="s">
        <v>5</v>
      </c>
      <c r="W26" s="110"/>
      <c r="X26" s="110"/>
      <c r="Y26" s="110"/>
      <c r="Z26" s="110"/>
      <c r="AA26" s="110"/>
      <c r="AB26" s="110"/>
      <c r="AC26" s="158" t="s">
        <v>5</v>
      </c>
      <c r="AD26" s="110"/>
      <c r="AE26" s="110"/>
      <c r="AF26" s="110"/>
      <c r="AG26" s="107">
        <f t="shared" si="0"/>
        <v>1</v>
      </c>
      <c r="AH26" s="9">
        <f t="shared" si="1"/>
        <v>3</v>
      </c>
      <c r="AI26" s="122">
        <v>0</v>
      </c>
      <c r="AJ26" s="115">
        <f>'2026.2.'!AL26</f>
        <v>46106</v>
      </c>
      <c r="AK26" s="8">
        <f t="shared" si="2"/>
        <v>46090</v>
      </c>
      <c r="AL26" s="8">
        <f t="shared" si="3"/>
        <v>46130</v>
      </c>
    </row>
    <row r="27" spans="1:39" x14ac:dyDescent="0.3">
      <c r="A27" s="10">
        <v>122</v>
      </c>
      <c r="B27" s="120"/>
      <c r="C27" s="110"/>
      <c r="D27" s="110"/>
      <c r="E27" s="110" t="s">
        <v>13</v>
      </c>
      <c r="F27" s="110"/>
      <c r="G27" s="110"/>
      <c r="H27" s="158" t="s">
        <v>5</v>
      </c>
      <c r="I27" s="110"/>
      <c r="J27" s="110"/>
      <c r="K27" s="110"/>
      <c r="L27" s="110"/>
      <c r="M27" s="110"/>
      <c r="N27" s="110"/>
      <c r="O27" s="158" t="s">
        <v>5</v>
      </c>
      <c r="P27" s="110"/>
      <c r="Q27" s="110"/>
      <c r="R27" s="110"/>
      <c r="S27" s="110"/>
      <c r="T27" s="110"/>
      <c r="U27" s="110"/>
      <c r="V27" s="158" t="s">
        <v>5</v>
      </c>
      <c r="W27" s="110"/>
      <c r="X27" s="110"/>
      <c r="Y27" s="110"/>
      <c r="Z27" s="110"/>
      <c r="AA27" s="110"/>
      <c r="AB27" s="110"/>
      <c r="AC27" s="158" t="s">
        <v>5</v>
      </c>
      <c r="AD27" s="110"/>
      <c r="AE27" s="110"/>
      <c r="AF27" s="110"/>
      <c r="AG27" s="107">
        <f t="shared" si="0"/>
        <v>1</v>
      </c>
      <c r="AH27" s="9">
        <f t="shared" si="1"/>
        <v>4</v>
      </c>
      <c r="AI27" s="122">
        <v>0</v>
      </c>
      <c r="AJ27" s="115">
        <f>'2026.2.'!AL27</f>
        <v>46090</v>
      </c>
      <c r="AK27" s="8">
        <f t="shared" si="2"/>
        <v>46085</v>
      </c>
      <c r="AL27" s="8">
        <f t="shared" si="3"/>
        <v>46125</v>
      </c>
    </row>
    <row r="28" spans="1:39" x14ac:dyDescent="0.3">
      <c r="A28" s="10">
        <v>123</v>
      </c>
      <c r="B28" s="120" t="s">
        <v>5</v>
      </c>
      <c r="C28" s="110"/>
      <c r="D28" s="110"/>
      <c r="E28" s="110"/>
      <c r="F28" s="110"/>
      <c r="G28" s="110" t="s">
        <v>13</v>
      </c>
      <c r="H28" s="110"/>
      <c r="I28" s="158" t="s">
        <v>5</v>
      </c>
      <c r="J28" s="110"/>
      <c r="K28" s="110"/>
      <c r="L28" s="110"/>
      <c r="M28" s="110"/>
      <c r="N28" s="110"/>
      <c r="O28" s="110"/>
      <c r="P28" s="158" t="s">
        <v>5</v>
      </c>
      <c r="Q28" s="110"/>
      <c r="R28" s="110"/>
      <c r="S28" s="110"/>
      <c r="T28" s="110"/>
      <c r="U28" s="110"/>
      <c r="V28" s="110"/>
      <c r="W28" s="158" t="s">
        <v>5</v>
      </c>
      <c r="X28" s="110"/>
      <c r="Y28" s="110"/>
      <c r="Z28" s="110"/>
      <c r="AA28" s="110"/>
      <c r="AB28" s="110"/>
      <c r="AC28" s="110"/>
      <c r="AD28" s="158" t="s">
        <v>5</v>
      </c>
      <c r="AE28" s="110"/>
      <c r="AF28" s="110"/>
      <c r="AG28" s="107">
        <f t="shared" si="0"/>
        <v>1</v>
      </c>
      <c r="AH28" s="9">
        <f t="shared" si="1"/>
        <v>5</v>
      </c>
      <c r="AI28" s="122">
        <v>0</v>
      </c>
      <c r="AJ28" s="115">
        <f>'2026.2.'!AL28</f>
        <v>46089</v>
      </c>
      <c r="AK28" s="8">
        <f t="shared" si="2"/>
        <v>46087</v>
      </c>
      <c r="AL28" s="8">
        <f t="shared" si="3"/>
        <v>46127</v>
      </c>
    </row>
    <row r="29" spans="1:39" x14ac:dyDescent="0.3">
      <c r="A29" s="10" t="s">
        <v>10</v>
      </c>
      <c r="B29" s="123">
        <f>COUNTIF(B6:B28,"7D")</f>
        <v>3</v>
      </c>
      <c r="C29" s="107">
        <f t="shared" ref="C29:AF29" si="4">COUNTIF(C6:C28,"7D")</f>
        <v>3</v>
      </c>
      <c r="D29" s="107">
        <f t="shared" si="4"/>
        <v>3</v>
      </c>
      <c r="E29" s="107">
        <f t="shared" si="4"/>
        <v>3</v>
      </c>
      <c r="F29" s="107">
        <f t="shared" si="4"/>
        <v>3</v>
      </c>
      <c r="G29" s="107">
        <f t="shared" si="4"/>
        <v>3</v>
      </c>
      <c r="H29" s="107">
        <f t="shared" si="4"/>
        <v>3</v>
      </c>
      <c r="I29" s="107">
        <f t="shared" si="4"/>
        <v>2</v>
      </c>
      <c r="J29" s="107">
        <f t="shared" si="4"/>
        <v>3</v>
      </c>
      <c r="K29" s="107">
        <f t="shared" si="4"/>
        <v>3</v>
      </c>
      <c r="L29" s="107">
        <f t="shared" si="4"/>
        <v>3</v>
      </c>
      <c r="M29" s="107">
        <f t="shared" si="4"/>
        <v>3</v>
      </c>
      <c r="N29" s="107">
        <f t="shared" si="4"/>
        <v>3</v>
      </c>
      <c r="O29" s="107">
        <f t="shared" si="4"/>
        <v>3</v>
      </c>
      <c r="P29" s="107">
        <f t="shared" si="4"/>
        <v>2</v>
      </c>
      <c r="Q29" s="107">
        <f t="shared" si="4"/>
        <v>3</v>
      </c>
      <c r="R29" s="107">
        <f t="shared" si="4"/>
        <v>3</v>
      </c>
      <c r="S29" s="107">
        <f t="shared" si="4"/>
        <v>3</v>
      </c>
      <c r="T29" s="107">
        <f t="shared" si="4"/>
        <v>3</v>
      </c>
      <c r="U29" s="107">
        <f t="shared" si="4"/>
        <v>3</v>
      </c>
      <c r="V29" s="107">
        <f t="shared" si="4"/>
        <v>3</v>
      </c>
      <c r="W29" s="107">
        <f t="shared" si="4"/>
        <v>2</v>
      </c>
      <c r="X29" s="107">
        <f t="shared" si="4"/>
        <v>3</v>
      </c>
      <c r="Y29" s="107">
        <f t="shared" si="4"/>
        <v>3</v>
      </c>
      <c r="Z29" s="107">
        <f t="shared" si="4"/>
        <v>3</v>
      </c>
      <c r="AA29" s="107">
        <f t="shared" si="4"/>
        <v>3</v>
      </c>
      <c r="AB29" s="107">
        <f t="shared" si="4"/>
        <v>3</v>
      </c>
      <c r="AC29" s="107">
        <f t="shared" si="4"/>
        <v>3</v>
      </c>
      <c r="AD29" s="107">
        <f t="shared" si="4"/>
        <v>3</v>
      </c>
      <c r="AE29" s="107">
        <f t="shared" si="4"/>
        <v>2</v>
      </c>
      <c r="AF29" s="107">
        <f t="shared" si="4"/>
        <v>3</v>
      </c>
      <c r="AG29" s="107"/>
      <c r="AH29" s="13">
        <f>SUM(B29:AF29)</f>
        <v>89</v>
      </c>
      <c r="AI29" s="124"/>
      <c r="AJ29" s="2"/>
      <c r="AK29" s="14"/>
      <c r="AL29" s="1"/>
    </row>
    <row r="30" spans="1:39" x14ac:dyDescent="0.3">
      <c r="A30" s="10" t="s">
        <v>6</v>
      </c>
      <c r="B30" s="123">
        <v>0</v>
      </c>
      <c r="C30" s="107">
        <v>0</v>
      </c>
      <c r="D30" s="110">
        <v>1</v>
      </c>
      <c r="E30" s="110">
        <v>1</v>
      </c>
      <c r="F30" s="110">
        <v>1</v>
      </c>
      <c r="G30" s="107">
        <v>1</v>
      </c>
      <c r="H30" s="107">
        <v>0</v>
      </c>
      <c r="I30" s="107">
        <v>0</v>
      </c>
      <c r="J30" s="107">
        <v>1</v>
      </c>
      <c r="K30" s="107">
        <v>1</v>
      </c>
      <c r="L30" s="107">
        <v>1</v>
      </c>
      <c r="M30" s="107">
        <v>1</v>
      </c>
      <c r="N30" s="107">
        <v>1</v>
      </c>
      <c r="O30" s="107">
        <v>0</v>
      </c>
      <c r="P30" s="107">
        <v>0</v>
      </c>
      <c r="Q30" s="107">
        <v>1</v>
      </c>
      <c r="R30" s="107">
        <v>1</v>
      </c>
      <c r="S30" s="107">
        <v>1</v>
      </c>
      <c r="T30" s="107">
        <v>1</v>
      </c>
      <c r="U30" s="107">
        <v>1</v>
      </c>
      <c r="V30" s="107">
        <v>0</v>
      </c>
      <c r="W30" s="107">
        <v>0</v>
      </c>
      <c r="X30" s="107">
        <v>1</v>
      </c>
      <c r="Y30" s="107">
        <v>1</v>
      </c>
      <c r="Z30" s="107">
        <v>1</v>
      </c>
      <c r="AA30" s="107">
        <v>1</v>
      </c>
      <c r="AB30" s="107">
        <v>1</v>
      </c>
      <c r="AC30" s="107">
        <v>0</v>
      </c>
      <c r="AD30" s="107">
        <v>0</v>
      </c>
      <c r="AE30" s="107">
        <v>1</v>
      </c>
      <c r="AF30" s="107">
        <v>1</v>
      </c>
      <c r="AG30" s="107"/>
      <c r="AH30" s="107"/>
      <c r="AI30" s="124">
        <f>SUM(B30:AF30)</f>
        <v>21</v>
      </c>
      <c r="AJ30" s="2"/>
      <c r="AK30" s="1"/>
      <c r="AL30" s="1"/>
    </row>
    <row r="31" spans="1:39" ht="17.25" thickBot="1" x14ac:dyDescent="0.35">
      <c r="A31" s="10" t="s">
        <v>12</v>
      </c>
      <c r="B31" s="125">
        <f>COUNTIF(B6:B28,"청")</f>
        <v>0</v>
      </c>
      <c r="C31" s="129">
        <f t="shared" ref="C31:AF31" si="5">COUNTIF(C6:C28,"청")</f>
        <v>0</v>
      </c>
      <c r="D31" s="127">
        <f t="shared" si="5"/>
        <v>1</v>
      </c>
      <c r="E31" s="127">
        <f t="shared" si="5"/>
        <v>1</v>
      </c>
      <c r="F31" s="127">
        <f t="shared" si="5"/>
        <v>1</v>
      </c>
      <c r="G31" s="129">
        <f t="shared" si="5"/>
        <v>1</v>
      </c>
      <c r="H31" s="129">
        <f t="shared" si="5"/>
        <v>0</v>
      </c>
      <c r="I31" s="129">
        <f t="shared" si="5"/>
        <v>0</v>
      </c>
      <c r="J31" s="129">
        <f t="shared" si="5"/>
        <v>1</v>
      </c>
      <c r="K31" s="129">
        <f t="shared" si="5"/>
        <v>1</v>
      </c>
      <c r="L31" s="129">
        <f t="shared" si="5"/>
        <v>1</v>
      </c>
      <c r="M31" s="129">
        <f t="shared" si="5"/>
        <v>1</v>
      </c>
      <c r="N31" s="129">
        <f t="shared" si="5"/>
        <v>1</v>
      </c>
      <c r="O31" s="129">
        <f t="shared" si="5"/>
        <v>0</v>
      </c>
      <c r="P31" s="129">
        <f t="shared" si="5"/>
        <v>0</v>
      </c>
      <c r="Q31" s="129">
        <f t="shared" si="5"/>
        <v>1</v>
      </c>
      <c r="R31" s="129">
        <f t="shared" si="5"/>
        <v>1</v>
      </c>
      <c r="S31" s="129">
        <f t="shared" si="5"/>
        <v>1</v>
      </c>
      <c r="T31" s="129">
        <f t="shared" si="5"/>
        <v>1</v>
      </c>
      <c r="U31" s="129">
        <f t="shared" si="5"/>
        <v>1</v>
      </c>
      <c r="V31" s="129">
        <f t="shared" si="5"/>
        <v>0</v>
      </c>
      <c r="W31" s="127">
        <f t="shared" si="5"/>
        <v>0</v>
      </c>
      <c r="X31" s="127">
        <f t="shared" si="5"/>
        <v>1</v>
      </c>
      <c r="Y31" s="127">
        <f t="shared" si="5"/>
        <v>1</v>
      </c>
      <c r="Z31" s="129">
        <f t="shared" si="5"/>
        <v>1</v>
      </c>
      <c r="AA31" s="129">
        <f t="shared" si="5"/>
        <v>1</v>
      </c>
      <c r="AB31" s="160">
        <f t="shared" si="5"/>
        <v>0</v>
      </c>
      <c r="AC31" s="129">
        <f t="shared" si="5"/>
        <v>0</v>
      </c>
      <c r="AD31" s="129">
        <f t="shared" si="5"/>
        <v>0</v>
      </c>
      <c r="AE31" s="129">
        <f t="shared" si="5"/>
        <v>1</v>
      </c>
      <c r="AF31" s="129">
        <f t="shared" si="5"/>
        <v>1</v>
      </c>
      <c r="AG31" s="129"/>
      <c r="AH31" s="278">
        <f>SUM(B31:AF31)</f>
        <v>20</v>
      </c>
      <c r="AI31" s="279"/>
      <c r="AJ31" s="2"/>
      <c r="AK31" s="1"/>
      <c r="AL31" s="1"/>
    </row>
    <row r="32" spans="1:39" x14ac:dyDescent="0.3">
      <c r="A32" s="17"/>
      <c r="B32" s="17"/>
      <c r="C32" s="85"/>
      <c r="D32" s="105"/>
      <c r="E32" s="86"/>
      <c r="F32" s="106"/>
      <c r="G32" s="34"/>
      <c r="H32" s="34"/>
      <c r="I32" s="34"/>
      <c r="J32" s="34"/>
      <c r="K32" s="87"/>
      <c r="AA32" s="34"/>
      <c r="AB32" s="131" t="s">
        <v>161</v>
      </c>
    </row>
    <row r="33" spans="1:24" x14ac:dyDescent="0.3">
      <c r="A33" s="17"/>
      <c r="B33" s="17"/>
      <c r="C33" s="41"/>
      <c r="D33" s="41"/>
      <c r="E33" s="41"/>
      <c r="F33" s="41"/>
    </row>
    <row r="34" spans="1:24" x14ac:dyDescent="0.3">
      <c r="B34" s="245" t="s">
        <v>57</v>
      </c>
      <c r="C34" s="245"/>
      <c r="D34" s="245"/>
      <c r="E34" s="246">
        <v>46082</v>
      </c>
      <c r="F34" s="246"/>
      <c r="G34" s="246"/>
      <c r="H34" s="247">
        <v>46082</v>
      </c>
      <c r="I34" s="247"/>
      <c r="J34" s="247"/>
      <c r="M34" s="17"/>
      <c r="N34" s="135"/>
      <c r="O34" s="136"/>
    </row>
    <row r="35" spans="1:24" x14ac:dyDescent="0.3">
      <c r="B35" s="245" t="s">
        <v>60</v>
      </c>
      <c r="C35" s="245"/>
      <c r="D35" s="245"/>
      <c r="E35" s="246">
        <v>46083</v>
      </c>
      <c r="F35" s="246"/>
      <c r="G35" s="246"/>
      <c r="H35" s="247">
        <v>46083</v>
      </c>
      <c r="I35" s="247"/>
      <c r="J35" s="247"/>
      <c r="M35" s="17"/>
      <c r="N35" s="135"/>
      <c r="O35" s="136"/>
      <c r="X35" t="s">
        <v>185</v>
      </c>
    </row>
    <row r="36" spans="1:24" ht="26.25" x14ac:dyDescent="0.3">
      <c r="B36" s="245"/>
      <c r="C36" s="245"/>
      <c r="D36" s="245"/>
      <c r="E36" s="246"/>
      <c r="F36" s="246"/>
      <c r="G36" s="246"/>
      <c r="H36" s="247"/>
      <c r="I36" s="247"/>
      <c r="J36" s="247"/>
      <c r="X36" s="217" t="s">
        <v>192</v>
      </c>
    </row>
    <row r="38" spans="1:24" x14ac:dyDescent="0.3">
      <c r="X38" t="s">
        <v>184</v>
      </c>
    </row>
    <row r="39" spans="1:24" ht="26.25" x14ac:dyDescent="0.3">
      <c r="X39" s="84" t="s">
        <v>191</v>
      </c>
    </row>
  </sheetData>
  <mergeCells count="51">
    <mergeCell ref="J6:M6"/>
    <mergeCell ref="N9:S9"/>
    <mergeCell ref="T12:Y12"/>
    <mergeCell ref="Z24:AE24"/>
    <mergeCell ref="B36:D36"/>
    <mergeCell ref="E36:G36"/>
    <mergeCell ref="H36:J36"/>
    <mergeCell ref="B20:AE20"/>
    <mergeCell ref="D26:G26"/>
    <mergeCell ref="AH31:AI31"/>
    <mergeCell ref="B34:D34"/>
    <mergeCell ref="E34:G34"/>
    <mergeCell ref="H34:J34"/>
    <mergeCell ref="B35:D35"/>
    <mergeCell ref="E35:G35"/>
    <mergeCell ref="H35:J35"/>
    <mergeCell ref="AG3:AI4"/>
    <mergeCell ref="AA3:AA4"/>
    <mergeCell ref="AB3:AB4"/>
    <mergeCell ref="AC3:AC4"/>
    <mergeCell ref="AD3:AD4"/>
    <mergeCell ref="AE3:AE4"/>
    <mergeCell ref="AF3:AF4"/>
    <mergeCell ref="Z3:Z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N3:N4"/>
    <mergeCell ref="A1:AI1"/>
    <mergeCell ref="A2:AI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3" type="noConversion"/>
  <conditionalFormatting sqref="B3:AF5 B6:J6 N6:AF6 B7:AF7 B8:C8 G8:AF8 B9:N9 T9:AF9 B10:AF10 B11:G11 M11:AF11 B12:T12 Z12:AF12 B13:AF13 B14:M14 V14:AF14 B15:AF16 B17:X17 AB17:AF17 B18:AF18 F19:AF19 AF20 B21:AF23 B24:Z24 AF24 B25:AF25 B26:D26 H26:AF26 B27:AF31">
    <cfRule type="expression" dxfId="12" priority="2">
      <formula>OR(WEEKDAY(B$3,1)=7,WEEKDAY(B$3,1)=1,B$3=$E$34:$G$36)</formula>
    </cfRule>
  </conditionalFormatting>
  <conditionalFormatting sqref="B3:AF5 B6:J6 N6:AF6 B7:AF7 B8:C8 G8:AF8 B9:N9 T9:AF9 D10:AF10 B11:G11 M11:AF11 B12:T12 Z12:AF12 B13:AF13 B14:M14 V14:AF14 B15:AF16 B17:X17 AB17:AF17 B18:AF18 AF20 B21:AF23 B24:Z24 AF24 B25:AF25 B26:D26 H26:AF26 B27:AF31">
    <cfRule type="expression" dxfId="11" priority="3">
      <formula>OR(WEEKDAY(B$3,1)=7,WEEKDAY(B$3,1)=1,B$3=#REF!)</formula>
    </cfRule>
    <cfRule type="expression" dxfId="10" priority="4">
      <formula>"OR(WEEKDAY(B$3,1)=7,WEEKDAY(B$3,1)=1,B$3=$E$34)"</formula>
    </cfRule>
  </conditionalFormatting>
  <conditionalFormatting sqref="B3:AF5 B6:J6 N6:AF6 B7:AF8 B9:N9 T9:AF9 B10:AF11 B12:T12 Z12:AF12 B13:AF19 AF20 B21:AF23 B24:Z24 AF24 B25:AF25 B26:D26 H26:AF26 B27:AF31">
    <cfRule type="expression" dxfId="9" priority="1">
      <formula>OR(WEEKDAY(B$3,1)=7,WEEKDAY(B$3,1)=1,B$3=$E$34:$G$36)</formula>
    </cfRule>
  </conditionalFormatting>
  <pageMargins left="0.7" right="0.7" top="0.75" bottom="0.75" header="0.3" footer="0.3"/>
  <pageSetup paperSize="8" scale="9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B5B23-BD04-4BF6-92D9-95CB43656B53}">
  <sheetPr>
    <pageSetUpPr fitToPage="1"/>
  </sheetPr>
  <dimension ref="A1:AM39"/>
  <sheetViews>
    <sheetView workbookViewId="0">
      <pane ySplit="5" topLeftCell="A6" activePane="bottomLeft" state="frozen"/>
      <selection pane="bottomLeft" activeCell="AP19" sqref="AP19"/>
    </sheetView>
  </sheetViews>
  <sheetFormatPr defaultRowHeight="16.5" x14ac:dyDescent="0.3"/>
  <cols>
    <col min="1" max="1" width="9.125" bestFit="1" customWidth="1"/>
    <col min="2" max="31" width="3.75" customWidth="1"/>
    <col min="32" max="32" width="3.25" hidden="1" customWidth="1"/>
    <col min="33" max="35" width="3.75" customWidth="1"/>
    <col min="36" max="36" width="12.5" hidden="1" customWidth="1"/>
    <col min="37" max="38" width="11.25" hidden="1" customWidth="1"/>
    <col min="39" max="39" width="10.375" hidden="1" customWidth="1"/>
  </cols>
  <sheetData>
    <row r="1" spans="1:39" x14ac:dyDescent="0.3">
      <c r="A1" s="264" t="s">
        <v>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108"/>
      <c r="AK1" s="1"/>
      <c r="AL1" s="1"/>
    </row>
    <row r="2" spans="1:39" ht="17.25" thickBot="1" x14ac:dyDescent="0.35">
      <c r="A2" s="266" t="s">
        <v>155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109"/>
      <c r="AK2" s="1"/>
      <c r="AL2" s="1"/>
    </row>
    <row r="3" spans="1:39" x14ac:dyDescent="0.3">
      <c r="A3" s="268" t="s">
        <v>1</v>
      </c>
      <c r="B3" s="273">
        <v>46113</v>
      </c>
      <c r="C3" s="272">
        <v>46114</v>
      </c>
      <c r="D3" s="272">
        <v>46115</v>
      </c>
      <c r="E3" s="272">
        <v>46116</v>
      </c>
      <c r="F3" s="272">
        <v>46117</v>
      </c>
      <c r="G3" s="272">
        <v>46118</v>
      </c>
      <c r="H3" s="272">
        <v>46119</v>
      </c>
      <c r="I3" s="272">
        <v>46120</v>
      </c>
      <c r="J3" s="272">
        <v>46121</v>
      </c>
      <c r="K3" s="272">
        <v>46122</v>
      </c>
      <c r="L3" s="272">
        <v>46123</v>
      </c>
      <c r="M3" s="272">
        <v>46124</v>
      </c>
      <c r="N3" s="272">
        <v>46125</v>
      </c>
      <c r="O3" s="272">
        <v>46126</v>
      </c>
      <c r="P3" s="272">
        <v>46127</v>
      </c>
      <c r="Q3" s="272">
        <v>46128</v>
      </c>
      <c r="R3" s="272">
        <v>46129</v>
      </c>
      <c r="S3" s="272">
        <v>46130</v>
      </c>
      <c r="T3" s="272">
        <v>46131</v>
      </c>
      <c r="U3" s="272">
        <v>46132</v>
      </c>
      <c r="V3" s="272">
        <v>46133</v>
      </c>
      <c r="W3" s="272">
        <v>46134</v>
      </c>
      <c r="X3" s="272">
        <v>46135</v>
      </c>
      <c r="Y3" s="272">
        <v>46136</v>
      </c>
      <c r="Z3" s="272">
        <v>46137</v>
      </c>
      <c r="AA3" s="272">
        <v>46138</v>
      </c>
      <c r="AB3" s="272">
        <v>46139</v>
      </c>
      <c r="AC3" s="272">
        <v>46140</v>
      </c>
      <c r="AD3" s="272">
        <v>46141</v>
      </c>
      <c r="AE3" s="272">
        <v>46142</v>
      </c>
      <c r="AF3" s="272"/>
      <c r="AG3" s="285" t="s">
        <v>2</v>
      </c>
      <c r="AH3" s="285"/>
      <c r="AI3" s="286"/>
      <c r="AJ3" s="2"/>
      <c r="AK3" s="1"/>
      <c r="AL3" s="1"/>
    </row>
    <row r="4" spans="1:39" x14ac:dyDescent="0.3">
      <c r="A4" s="269"/>
      <c r="B4" s="274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1"/>
      <c r="X4" s="261"/>
      <c r="Y4" s="261"/>
      <c r="Z4" s="261"/>
      <c r="AA4" s="261"/>
      <c r="AB4" s="261"/>
      <c r="AC4" s="261"/>
      <c r="AD4" s="261"/>
      <c r="AE4" s="261"/>
      <c r="AF4" s="261"/>
      <c r="AG4" s="255"/>
      <c r="AH4" s="255"/>
      <c r="AI4" s="287"/>
      <c r="AJ4" s="2"/>
      <c r="AK4" s="1"/>
      <c r="AL4" s="1"/>
    </row>
    <row r="5" spans="1:39" ht="17.25" thickBot="1" x14ac:dyDescent="0.35">
      <c r="A5" s="66" t="s">
        <v>3</v>
      </c>
      <c r="B5" s="116">
        <v>46113</v>
      </c>
      <c r="C5" s="43">
        <v>46114</v>
      </c>
      <c r="D5" s="43">
        <v>46115</v>
      </c>
      <c r="E5" s="43">
        <v>46116</v>
      </c>
      <c r="F5" s="43">
        <v>46117</v>
      </c>
      <c r="G5" s="43">
        <v>46118</v>
      </c>
      <c r="H5" s="43">
        <v>46119</v>
      </c>
      <c r="I5" s="43">
        <v>46120</v>
      </c>
      <c r="J5" s="43">
        <v>46121</v>
      </c>
      <c r="K5" s="43">
        <v>46122</v>
      </c>
      <c r="L5" s="43">
        <v>46123</v>
      </c>
      <c r="M5" s="43">
        <v>46124</v>
      </c>
      <c r="N5" s="43">
        <v>46125</v>
      </c>
      <c r="O5" s="43">
        <v>46126</v>
      </c>
      <c r="P5" s="43">
        <v>46127</v>
      </c>
      <c r="Q5" s="43">
        <v>46128</v>
      </c>
      <c r="R5" s="43">
        <v>46129</v>
      </c>
      <c r="S5" s="43">
        <v>46130</v>
      </c>
      <c r="T5" s="43">
        <v>46131</v>
      </c>
      <c r="U5" s="43">
        <v>46132</v>
      </c>
      <c r="V5" s="43">
        <v>46133</v>
      </c>
      <c r="W5" s="43">
        <v>46134</v>
      </c>
      <c r="X5" s="43">
        <v>46135</v>
      </c>
      <c r="Y5" s="43">
        <v>46136</v>
      </c>
      <c r="Z5" s="43">
        <v>46137</v>
      </c>
      <c r="AA5" s="43">
        <v>46138</v>
      </c>
      <c r="AB5" s="43">
        <v>46139</v>
      </c>
      <c r="AC5" s="43">
        <v>46140</v>
      </c>
      <c r="AD5" s="43">
        <v>46141</v>
      </c>
      <c r="AE5" s="43">
        <v>46142</v>
      </c>
      <c r="AF5" s="43"/>
      <c r="AG5" s="5" t="s">
        <v>4</v>
      </c>
      <c r="AH5" s="5" t="s">
        <v>10</v>
      </c>
      <c r="AI5" s="117" t="s">
        <v>6</v>
      </c>
      <c r="AJ5" s="114" t="s">
        <v>7</v>
      </c>
      <c r="AK5" s="6" t="s">
        <v>8</v>
      </c>
      <c r="AL5" s="6" t="s">
        <v>9</v>
      </c>
    </row>
    <row r="6" spans="1:39" ht="17.25" thickTop="1" x14ac:dyDescent="0.3">
      <c r="A6" s="19">
        <v>101</v>
      </c>
      <c r="B6" s="118"/>
      <c r="C6" s="18" t="s">
        <v>10</v>
      </c>
      <c r="D6" s="18"/>
      <c r="E6" s="18"/>
      <c r="F6" s="18"/>
      <c r="G6" s="18"/>
      <c r="H6" s="18"/>
      <c r="I6" s="18"/>
      <c r="J6" s="42" t="s">
        <v>5</v>
      </c>
      <c r="K6" s="42"/>
      <c r="L6" s="42"/>
      <c r="M6" s="42"/>
      <c r="N6" s="18"/>
      <c r="O6" s="18"/>
      <c r="P6" s="18"/>
      <c r="Q6" s="18" t="s">
        <v>5</v>
      </c>
      <c r="R6" s="42"/>
      <c r="S6" s="42"/>
      <c r="T6" s="42"/>
      <c r="U6" s="42" t="s">
        <v>13</v>
      </c>
      <c r="V6" s="18"/>
      <c r="W6" s="18"/>
      <c r="X6" s="18" t="s">
        <v>5</v>
      </c>
      <c r="Y6" s="18"/>
      <c r="Z6" s="18"/>
      <c r="AA6" s="18"/>
      <c r="AB6" s="18"/>
      <c r="AC6" s="18"/>
      <c r="AD6" s="18"/>
      <c r="AE6" s="18" t="s">
        <v>5</v>
      </c>
      <c r="AF6" s="18"/>
      <c r="AG6" s="11">
        <f>COUNTIF(B6:AF6,"청")</f>
        <v>1</v>
      </c>
      <c r="AH6" s="112">
        <f>COUNTIF(B6:AF6,"7D")</f>
        <v>5</v>
      </c>
      <c r="AI6" s="119">
        <v>0</v>
      </c>
      <c r="AJ6" s="115">
        <f>'2026.3.'!AL6</f>
        <v>46134</v>
      </c>
      <c r="AK6" s="8">
        <f>IFERROR(INDEX($B$3:$AF$5,1,MATCH("청",B6:AF6,0)),"")</f>
        <v>46132</v>
      </c>
      <c r="AL6" s="8">
        <f>IFERROR(AK6+40,"")</f>
        <v>46172</v>
      </c>
      <c r="AM6" s="81"/>
    </row>
    <row r="7" spans="1:39" x14ac:dyDescent="0.3">
      <c r="A7" s="10">
        <v>102</v>
      </c>
      <c r="B7" s="120"/>
      <c r="C7" s="134"/>
      <c r="D7" s="159" t="s">
        <v>5</v>
      </c>
      <c r="E7" s="134"/>
      <c r="F7" s="134"/>
      <c r="G7" s="134"/>
      <c r="H7" s="134" t="s">
        <v>13</v>
      </c>
      <c r="I7" s="134"/>
      <c r="J7" s="159" t="s">
        <v>5</v>
      </c>
      <c r="K7" s="134"/>
      <c r="L7" s="134"/>
      <c r="M7" s="134"/>
      <c r="N7" s="134"/>
      <c r="O7" s="134"/>
      <c r="P7" s="134"/>
      <c r="Q7" s="159" t="s">
        <v>5</v>
      </c>
      <c r="R7" s="134"/>
      <c r="S7" s="134"/>
      <c r="T7" s="134"/>
      <c r="U7" s="134"/>
      <c r="V7" s="134"/>
      <c r="W7" s="253" t="s">
        <v>78</v>
      </c>
      <c r="X7" s="254"/>
      <c r="Y7" s="254"/>
      <c r="Z7" s="254"/>
      <c r="AA7" s="254"/>
      <c r="AB7" s="249"/>
      <c r="AC7" s="134" t="s">
        <v>13</v>
      </c>
      <c r="AD7" s="134"/>
      <c r="AE7" s="134"/>
      <c r="AF7" s="134"/>
      <c r="AG7" s="51">
        <f t="shared" ref="AG7:AG28" si="0">COUNTIF(B7:AF7,"청")</f>
        <v>2</v>
      </c>
      <c r="AH7" s="44">
        <f t="shared" ref="AH7:AH28" si="1">COUNTIF(B7:AF7,"7D")</f>
        <v>3</v>
      </c>
      <c r="AI7" s="121">
        <v>0</v>
      </c>
      <c r="AJ7" s="115">
        <f>'2026.3.'!AL7</f>
        <v>46131</v>
      </c>
      <c r="AK7" s="12">
        <v>46140</v>
      </c>
      <c r="AL7" s="8">
        <f t="shared" ref="AL7:AL28" si="2">IFERROR(AK7+40,"")</f>
        <v>46180</v>
      </c>
      <c r="AM7" s="81"/>
    </row>
    <row r="8" spans="1:39" x14ac:dyDescent="0.3">
      <c r="A8" s="10">
        <v>103</v>
      </c>
      <c r="B8" s="120"/>
      <c r="C8" s="35" t="s">
        <v>5</v>
      </c>
      <c r="D8" s="35"/>
      <c r="E8" s="35"/>
      <c r="F8" s="35"/>
      <c r="G8" s="134"/>
      <c r="H8" s="134"/>
      <c r="I8" s="134" t="s">
        <v>13</v>
      </c>
      <c r="J8" s="159" t="s">
        <v>5</v>
      </c>
      <c r="K8" s="134"/>
      <c r="L8" s="134"/>
      <c r="M8" s="134"/>
      <c r="N8" s="134"/>
      <c r="O8" s="134"/>
      <c r="P8" s="134"/>
      <c r="Q8" s="159" t="s">
        <v>5</v>
      </c>
      <c r="R8" s="134"/>
      <c r="S8" s="134"/>
      <c r="T8" s="134"/>
      <c r="U8" s="134"/>
      <c r="V8" s="134"/>
      <c r="W8" s="134"/>
      <c r="X8" s="159" t="s">
        <v>5</v>
      </c>
      <c r="Y8" s="134"/>
      <c r="Z8" s="134"/>
      <c r="AA8" s="134"/>
      <c r="AB8" s="134"/>
      <c r="AC8" s="134"/>
      <c r="AD8" s="134"/>
      <c r="AE8" s="159" t="s">
        <v>5</v>
      </c>
      <c r="AF8" s="134"/>
      <c r="AG8" s="132">
        <f t="shared" si="0"/>
        <v>1</v>
      </c>
      <c r="AH8" s="9">
        <f t="shared" si="1"/>
        <v>5</v>
      </c>
      <c r="AI8" s="122">
        <v>0</v>
      </c>
      <c r="AJ8" s="115">
        <f>'2026.3.'!AL8</f>
        <v>46138</v>
      </c>
      <c r="AK8" s="8">
        <f t="shared" ref="AK8:AK28" si="3">IFERROR(INDEX($B$3:$AF$5,1,MATCH("청",B8:AF8,0)),"")</f>
        <v>46120</v>
      </c>
      <c r="AL8" s="8">
        <f t="shared" si="2"/>
        <v>46160</v>
      </c>
      <c r="AM8" s="81"/>
    </row>
    <row r="9" spans="1:39" x14ac:dyDescent="0.3">
      <c r="A9" s="10">
        <v>104</v>
      </c>
      <c r="B9" s="120" t="s">
        <v>5</v>
      </c>
      <c r="C9" s="134"/>
      <c r="D9" s="134"/>
      <c r="E9" s="134"/>
      <c r="F9" s="134"/>
      <c r="G9" s="134"/>
      <c r="H9" s="134"/>
      <c r="I9" s="159" t="s">
        <v>5</v>
      </c>
      <c r="J9" s="134"/>
      <c r="K9" s="134"/>
      <c r="L9" s="134"/>
      <c r="M9" s="134"/>
      <c r="N9" s="35"/>
      <c r="O9" s="35"/>
      <c r="P9" s="35" t="s">
        <v>5</v>
      </c>
      <c r="Q9" s="35"/>
      <c r="R9" s="35"/>
      <c r="S9" s="35"/>
      <c r="T9" s="134"/>
      <c r="U9" s="134"/>
      <c r="V9" s="134" t="s">
        <v>13</v>
      </c>
      <c r="W9" s="159" t="s">
        <v>5</v>
      </c>
      <c r="X9" s="134"/>
      <c r="Y9" s="134"/>
      <c r="Z9" s="134"/>
      <c r="AA9" s="134"/>
      <c r="AB9" s="134"/>
      <c r="AC9" s="134"/>
      <c r="AD9" s="159" t="s">
        <v>5</v>
      </c>
      <c r="AE9" s="134"/>
      <c r="AF9" s="134"/>
      <c r="AG9" s="132">
        <f t="shared" si="0"/>
        <v>1</v>
      </c>
      <c r="AH9" s="9">
        <f t="shared" si="1"/>
        <v>5</v>
      </c>
      <c r="AI9" s="122">
        <v>0</v>
      </c>
      <c r="AJ9" s="115">
        <f>'2026.3.'!AL9</f>
        <v>46140</v>
      </c>
      <c r="AK9" s="8">
        <f t="shared" si="3"/>
        <v>46133</v>
      </c>
      <c r="AL9" s="8">
        <f t="shared" si="2"/>
        <v>46173</v>
      </c>
    </row>
    <row r="10" spans="1:39" x14ac:dyDescent="0.3">
      <c r="A10" s="10">
        <v>105</v>
      </c>
      <c r="B10" s="120"/>
      <c r="C10" s="134"/>
      <c r="D10" s="159" t="s">
        <v>5</v>
      </c>
      <c r="E10" s="134"/>
      <c r="F10" s="134"/>
      <c r="G10" s="134"/>
      <c r="H10" s="134"/>
      <c r="I10" s="134"/>
      <c r="J10" s="134"/>
      <c r="K10" s="159" t="s">
        <v>5</v>
      </c>
      <c r="L10" s="134"/>
      <c r="M10" s="134"/>
      <c r="N10" s="134"/>
      <c r="O10" s="134"/>
      <c r="P10" s="134" t="s">
        <v>13</v>
      </c>
      <c r="Q10" s="134"/>
      <c r="R10" s="159" t="s">
        <v>5</v>
      </c>
      <c r="S10" s="134"/>
      <c r="T10" s="134"/>
      <c r="U10" s="134"/>
      <c r="V10" s="134"/>
      <c r="W10" s="134"/>
      <c r="X10" s="134"/>
      <c r="Y10" s="159" t="s">
        <v>5</v>
      </c>
      <c r="Z10" s="134"/>
      <c r="AA10" s="134"/>
      <c r="AB10" s="134"/>
      <c r="AC10" s="253" t="s">
        <v>77</v>
      </c>
      <c r="AD10" s="254"/>
      <c r="AE10" s="249"/>
      <c r="AF10" s="134"/>
      <c r="AG10" s="132">
        <f t="shared" si="0"/>
        <v>1</v>
      </c>
      <c r="AH10" s="9">
        <f t="shared" si="1"/>
        <v>4</v>
      </c>
      <c r="AI10" s="122">
        <v>0</v>
      </c>
      <c r="AJ10" s="115">
        <f>'2026.3.'!AL10</f>
        <v>46137</v>
      </c>
      <c r="AK10" s="8">
        <f t="shared" si="3"/>
        <v>46127</v>
      </c>
      <c r="AL10" s="8">
        <f t="shared" si="2"/>
        <v>46167</v>
      </c>
      <c r="AM10" s="80" t="s">
        <v>158</v>
      </c>
    </row>
    <row r="11" spans="1:39" x14ac:dyDescent="0.3">
      <c r="A11" s="10">
        <v>106</v>
      </c>
      <c r="B11" s="137"/>
      <c r="C11" s="35"/>
      <c r="D11" s="35"/>
      <c r="E11" s="35"/>
      <c r="F11" s="35"/>
      <c r="G11" s="35" t="s">
        <v>5</v>
      </c>
      <c r="H11" s="35"/>
      <c r="I11" s="35"/>
      <c r="J11" s="35"/>
      <c r="K11" s="35"/>
      <c r="L11" s="35"/>
      <c r="M11" s="134"/>
      <c r="N11" s="159" t="s">
        <v>5</v>
      </c>
      <c r="O11" s="134"/>
      <c r="P11" s="134"/>
      <c r="Q11" s="134"/>
      <c r="R11" s="134"/>
      <c r="S11" s="134"/>
      <c r="T11" s="134"/>
      <c r="U11" s="159" t="s">
        <v>5</v>
      </c>
      <c r="V11" s="134"/>
      <c r="W11" s="134"/>
      <c r="X11" s="134"/>
      <c r="Y11" s="134" t="s">
        <v>13</v>
      </c>
      <c r="Z11" s="134"/>
      <c r="AA11" s="159" t="s">
        <v>5</v>
      </c>
      <c r="AB11" s="134"/>
      <c r="AC11" s="134"/>
      <c r="AD11" s="134"/>
      <c r="AE11" s="134"/>
      <c r="AF11" s="134"/>
      <c r="AG11" s="132">
        <f t="shared" si="0"/>
        <v>1</v>
      </c>
      <c r="AH11" s="9">
        <f t="shared" si="1"/>
        <v>4</v>
      </c>
      <c r="AI11" s="122">
        <v>0</v>
      </c>
      <c r="AJ11" s="115">
        <f>'2026.3.'!AL11</f>
        <v>46144</v>
      </c>
      <c r="AK11" s="8">
        <f t="shared" si="3"/>
        <v>46136</v>
      </c>
      <c r="AL11" s="8">
        <f t="shared" si="2"/>
        <v>46176</v>
      </c>
    </row>
    <row r="12" spans="1:39" x14ac:dyDescent="0.3">
      <c r="A12" s="10">
        <v>107</v>
      </c>
      <c r="B12" s="120"/>
      <c r="C12" s="134"/>
      <c r="D12" s="134"/>
      <c r="E12" s="134"/>
      <c r="F12" s="134"/>
      <c r="G12" s="159" t="s">
        <v>5</v>
      </c>
      <c r="H12" s="134"/>
      <c r="I12" s="134"/>
      <c r="J12" s="134"/>
      <c r="K12" s="35"/>
      <c r="L12" s="35"/>
      <c r="M12" s="35"/>
      <c r="N12" s="35" t="s">
        <v>5</v>
      </c>
      <c r="O12" s="35"/>
      <c r="P12" s="35"/>
      <c r="Q12" s="35"/>
      <c r="R12" s="35"/>
      <c r="S12" s="35"/>
      <c r="T12" s="35"/>
      <c r="U12" s="35" t="s">
        <v>5</v>
      </c>
      <c r="V12" s="35"/>
      <c r="W12" s="35"/>
      <c r="X12" s="35"/>
      <c r="Y12" s="35"/>
      <c r="Z12" s="35"/>
      <c r="AA12" s="35"/>
      <c r="AB12" s="35" t="s">
        <v>5</v>
      </c>
      <c r="AC12" s="35"/>
      <c r="AD12" s="134" t="s">
        <v>13</v>
      </c>
      <c r="AE12" s="134"/>
      <c r="AF12" s="134"/>
      <c r="AG12" s="132">
        <f t="shared" si="0"/>
        <v>1</v>
      </c>
      <c r="AH12" s="9">
        <f t="shared" si="1"/>
        <v>4</v>
      </c>
      <c r="AI12" s="122">
        <v>0</v>
      </c>
      <c r="AJ12" s="115">
        <f>'2026.3.'!AL12</f>
        <v>46146</v>
      </c>
      <c r="AK12" s="8">
        <f t="shared" si="3"/>
        <v>46141</v>
      </c>
      <c r="AL12" s="8">
        <f t="shared" si="2"/>
        <v>46181</v>
      </c>
      <c r="AM12" s="81"/>
    </row>
    <row r="13" spans="1:39" x14ac:dyDescent="0.3">
      <c r="A13" s="10">
        <v>108</v>
      </c>
      <c r="B13" s="120"/>
      <c r="C13" s="134" t="s">
        <v>13</v>
      </c>
      <c r="D13" s="134"/>
      <c r="E13" s="134"/>
      <c r="F13" s="159" t="s">
        <v>5</v>
      </c>
      <c r="G13" s="134"/>
      <c r="H13" s="134"/>
      <c r="I13" s="134"/>
      <c r="J13" s="134"/>
      <c r="K13" s="134"/>
      <c r="L13" s="134"/>
      <c r="M13" s="159" t="s">
        <v>5</v>
      </c>
      <c r="N13" s="134"/>
      <c r="O13" s="134"/>
      <c r="P13" s="134"/>
      <c r="Q13" s="134"/>
      <c r="R13" s="134"/>
      <c r="S13" s="134"/>
      <c r="T13" s="159" t="s">
        <v>5</v>
      </c>
      <c r="U13" s="134"/>
      <c r="V13" s="134"/>
      <c r="W13" s="134"/>
      <c r="X13" s="134"/>
      <c r="Y13" s="134"/>
      <c r="Z13" s="134"/>
      <c r="AA13" s="159" t="s">
        <v>5</v>
      </c>
      <c r="AB13" s="134"/>
      <c r="AC13" s="134"/>
      <c r="AD13" s="134"/>
      <c r="AE13" s="134"/>
      <c r="AF13" s="134"/>
      <c r="AG13" s="132">
        <f t="shared" si="0"/>
        <v>1</v>
      </c>
      <c r="AH13" s="9">
        <f t="shared" si="1"/>
        <v>4</v>
      </c>
      <c r="AI13" s="122">
        <v>0</v>
      </c>
      <c r="AJ13" s="115">
        <f>'2026.3.'!AL13</f>
        <v>46118</v>
      </c>
      <c r="AK13" s="8">
        <f t="shared" si="3"/>
        <v>46114</v>
      </c>
      <c r="AL13" s="8">
        <f t="shared" si="2"/>
        <v>46154</v>
      </c>
      <c r="AM13" s="80"/>
    </row>
    <row r="14" spans="1:39" x14ac:dyDescent="0.3">
      <c r="A14" s="10">
        <v>109</v>
      </c>
      <c r="B14" s="120"/>
      <c r="C14" s="134"/>
      <c r="D14" s="159" t="s">
        <v>5</v>
      </c>
      <c r="E14" s="134"/>
      <c r="F14" s="134"/>
      <c r="G14" s="134"/>
      <c r="H14" s="134"/>
      <c r="I14" s="134"/>
      <c r="J14" s="134"/>
      <c r="K14" s="159" t="s">
        <v>5</v>
      </c>
      <c r="L14" s="134"/>
      <c r="M14" s="35"/>
      <c r="N14" s="35"/>
      <c r="O14" s="35"/>
      <c r="P14" s="35"/>
      <c r="Q14" s="35"/>
      <c r="R14" s="35"/>
      <c r="S14" s="35" t="s">
        <v>5</v>
      </c>
      <c r="T14" s="35"/>
      <c r="U14" s="35"/>
      <c r="V14" s="134"/>
      <c r="W14" s="134"/>
      <c r="X14" s="134"/>
      <c r="Y14" s="134"/>
      <c r="Z14" s="159" t="s">
        <v>5</v>
      </c>
      <c r="AA14" s="134"/>
      <c r="AB14" s="35" t="s">
        <v>13</v>
      </c>
      <c r="AC14" s="35"/>
      <c r="AD14" s="134"/>
      <c r="AE14" s="134"/>
      <c r="AF14" s="134"/>
      <c r="AG14" s="132">
        <f t="shared" si="0"/>
        <v>1</v>
      </c>
      <c r="AH14" s="9">
        <f t="shared" si="1"/>
        <v>4</v>
      </c>
      <c r="AI14" s="122">
        <v>0</v>
      </c>
      <c r="AJ14" s="115">
        <f>'2026.3.'!AL14</f>
        <v>46151</v>
      </c>
      <c r="AK14" s="8">
        <f t="shared" si="3"/>
        <v>46139</v>
      </c>
      <c r="AL14" s="8">
        <f t="shared" si="2"/>
        <v>46179</v>
      </c>
    </row>
    <row r="15" spans="1:39" x14ac:dyDescent="0.3">
      <c r="A15" s="10">
        <v>110</v>
      </c>
      <c r="B15" s="137"/>
      <c r="C15" s="35"/>
      <c r="D15" s="35"/>
      <c r="E15" s="35"/>
      <c r="F15" s="159" t="s">
        <v>5</v>
      </c>
      <c r="G15" s="134"/>
      <c r="H15" s="134"/>
      <c r="I15" s="134"/>
      <c r="J15" s="134"/>
      <c r="K15" s="253" t="s">
        <v>114</v>
      </c>
      <c r="L15" s="254"/>
      <c r="M15" s="254"/>
      <c r="N15" s="254"/>
      <c r="O15" s="254"/>
      <c r="P15" s="249"/>
      <c r="Q15" s="134" t="s">
        <v>13</v>
      </c>
      <c r="R15" s="134"/>
      <c r="S15" s="134"/>
      <c r="T15" s="134"/>
      <c r="U15" s="134"/>
      <c r="V15" s="134"/>
      <c r="W15" s="159" t="s">
        <v>5</v>
      </c>
      <c r="X15" s="134"/>
      <c r="Y15" s="134"/>
      <c r="Z15" s="134"/>
      <c r="AA15" s="134"/>
      <c r="AB15" s="134"/>
      <c r="AC15" s="134"/>
      <c r="AD15" s="159" t="s">
        <v>5</v>
      </c>
      <c r="AE15" s="134"/>
      <c r="AF15" s="134"/>
      <c r="AG15" s="132">
        <f t="shared" si="0"/>
        <v>1</v>
      </c>
      <c r="AH15" s="9">
        <f t="shared" si="1"/>
        <v>3</v>
      </c>
      <c r="AI15" s="122">
        <v>0</v>
      </c>
      <c r="AJ15" s="115">
        <f>'2026.3.'!AL15</f>
        <v>46145</v>
      </c>
      <c r="AK15" s="8">
        <f t="shared" si="3"/>
        <v>46128</v>
      </c>
      <c r="AL15" s="8">
        <f t="shared" si="2"/>
        <v>46168</v>
      </c>
    </row>
    <row r="16" spans="1:39" x14ac:dyDescent="0.3">
      <c r="A16" s="10">
        <v>111</v>
      </c>
      <c r="B16" s="120"/>
      <c r="C16" s="134"/>
      <c r="D16" s="134"/>
      <c r="E16" s="134"/>
      <c r="F16" s="134"/>
      <c r="G16" s="134"/>
      <c r="H16" s="159" t="s">
        <v>5</v>
      </c>
      <c r="I16" s="134"/>
      <c r="J16" s="134"/>
      <c r="K16" s="134"/>
      <c r="L16" s="134"/>
      <c r="M16" s="134"/>
      <c r="N16" s="134"/>
      <c r="O16" s="159" t="s">
        <v>5</v>
      </c>
      <c r="P16" s="134"/>
      <c r="Q16" s="134"/>
      <c r="R16" s="134"/>
      <c r="S16" s="134"/>
      <c r="T16" s="134"/>
      <c r="U16" s="134"/>
      <c r="V16" s="35" t="s">
        <v>5</v>
      </c>
      <c r="W16" s="35"/>
      <c r="X16" s="35"/>
      <c r="Y16" s="35"/>
      <c r="Z16" s="35"/>
      <c r="AA16" s="35"/>
      <c r="AB16" s="159" t="s">
        <v>5</v>
      </c>
      <c r="AC16" s="134"/>
      <c r="AD16" s="134"/>
      <c r="AE16" s="134" t="s">
        <v>13</v>
      </c>
      <c r="AF16" s="134"/>
      <c r="AG16" s="132">
        <f t="shared" si="0"/>
        <v>1</v>
      </c>
      <c r="AH16" s="9">
        <f t="shared" si="1"/>
        <v>4</v>
      </c>
      <c r="AI16" s="122">
        <v>0</v>
      </c>
      <c r="AJ16" s="115">
        <f>'2026.3.'!AL16</f>
        <v>46147</v>
      </c>
      <c r="AK16" s="8">
        <f t="shared" si="3"/>
        <v>46142</v>
      </c>
      <c r="AL16" s="8">
        <f t="shared" si="2"/>
        <v>46182</v>
      </c>
    </row>
    <row r="17" spans="1:39" x14ac:dyDescent="0.3">
      <c r="A17" s="10">
        <v>112</v>
      </c>
      <c r="B17" s="120"/>
      <c r="C17" s="159" t="s">
        <v>5</v>
      </c>
      <c r="D17" s="134" t="s">
        <v>13</v>
      </c>
      <c r="E17" s="134"/>
      <c r="F17" s="134"/>
      <c r="G17" s="134"/>
      <c r="H17" s="134"/>
      <c r="I17" s="159" t="s">
        <v>5</v>
      </c>
      <c r="J17" s="134"/>
      <c r="K17" s="134"/>
      <c r="L17" s="134"/>
      <c r="M17" s="134"/>
      <c r="N17" s="134"/>
      <c r="O17" s="134"/>
      <c r="P17" s="159" t="s">
        <v>5</v>
      </c>
      <c r="Q17" s="134"/>
      <c r="R17" s="134"/>
      <c r="S17" s="134"/>
      <c r="T17" s="134"/>
      <c r="U17" s="134"/>
      <c r="V17" s="134"/>
      <c r="W17" s="134"/>
      <c r="X17" s="35" t="s">
        <v>5</v>
      </c>
      <c r="Y17" s="35"/>
      <c r="Z17" s="35"/>
      <c r="AA17" s="35"/>
      <c r="AB17" s="134"/>
      <c r="AC17" s="134"/>
      <c r="AD17" s="134"/>
      <c r="AE17" s="159" t="s">
        <v>5</v>
      </c>
      <c r="AF17" s="134"/>
      <c r="AG17" s="132">
        <f t="shared" si="0"/>
        <v>1</v>
      </c>
      <c r="AH17" s="9">
        <f t="shared" si="1"/>
        <v>5</v>
      </c>
      <c r="AI17" s="122">
        <v>0</v>
      </c>
      <c r="AJ17" s="115">
        <f>'2026.3.'!AL17</f>
        <v>46120</v>
      </c>
      <c r="AK17" s="8">
        <f t="shared" si="3"/>
        <v>46115</v>
      </c>
      <c r="AL17" s="8">
        <f t="shared" si="2"/>
        <v>46155</v>
      </c>
      <c r="AM17" s="81"/>
    </row>
    <row r="18" spans="1:39" x14ac:dyDescent="0.3">
      <c r="A18" s="10">
        <v>113</v>
      </c>
      <c r="B18" s="120"/>
      <c r="C18" s="134"/>
      <c r="D18" s="134"/>
      <c r="E18" s="134"/>
      <c r="F18" s="35"/>
      <c r="G18" s="253" t="s">
        <v>157</v>
      </c>
      <c r="H18" s="254"/>
      <c r="I18" s="254"/>
      <c r="J18" s="249"/>
      <c r="K18" s="35" t="s">
        <v>13</v>
      </c>
      <c r="L18" s="134"/>
      <c r="M18" s="134"/>
      <c r="N18" s="134"/>
      <c r="O18" s="134"/>
      <c r="P18" s="134"/>
      <c r="Q18" s="134"/>
      <c r="R18" s="159" t="s">
        <v>5</v>
      </c>
      <c r="S18" s="134"/>
      <c r="T18" s="134"/>
      <c r="U18" s="134"/>
      <c r="V18" s="134"/>
      <c r="W18" s="134"/>
      <c r="X18" s="134"/>
      <c r="Y18" s="159" t="s">
        <v>5</v>
      </c>
      <c r="Z18" s="134"/>
      <c r="AA18" s="134"/>
      <c r="AB18" s="134"/>
      <c r="AC18" s="134"/>
      <c r="AD18" s="134"/>
      <c r="AE18" s="134"/>
      <c r="AF18" s="134"/>
      <c r="AG18" s="132">
        <f t="shared" si="0"/>
        <v>1</v>
      </c>
      <c r="AH18" s="9">
        <f t="shared" si="1"/>
        <v>2</v>
      </c>
      <c r="AI18" s="122">
        <v>0</v>
      </c>
      <c r="AJ18" s="115">
        <f>'2026.3.'!AL18</f>
        <v>46124</v>
      </c>
      <c r="AK18" s="8">
        <f t="shared" si="3"/>
        <v>46122</v>
      </c>
      <c r="AL18" s="8">
        <f t="shared" si="2"/>
        <v>46162</v>
      </c>
    </row>
    <row r="19" spans="1:39" x14ac:dyDescent="0.3">
      <c r="A19" s="10">
        <v>114</v>
      </c>
      <c r="B19" s="140"/>
      <c r="C19" s="138"/>
      <c r="D19" s="138"/>
      <c r="E19" s="138"/>
      <c r="F19" s="134"/>
      <c r="G19" s="134"/>
      <c r="H19" s="159" t="s">
        <v>5</v>
      </c>
      <c r="I19" s="134"/>
      <c r="J19" s="134"/>
      <c r="K19" s="134"/>
      <c r="L19" s="134"/>
      <c r="M19" s="134"/>
      <c r="N19" s="134"/>
      <c r="O19" s="159" t="s">
        <v>5</v>
      </c>
      <c r="P19" s="134"/>
      <c r="Q19" s="134"/>
      <c r="R19" s="134"/>
      <c r="S19" s="134"/>
      <c r="T19" s="134"/>
      <c r="U19" s="134"/>
      <c r="V19" s="159" t="s">
        <v>5</v>
      </c>
      <c r="W19" s="134"/>
      <c r="X19" s="134" t="s">
        <v>13</v>
      </c>
      <c r="Y19" s="134"/>
      <c r="Z19" s="134"/>
      <c r="AA19" s="134"/>
      <c r="AB19" s="134"/>
      <c r="AC19" s="159" t="s">
        <v>5</v>
      </c>
      <c r="AD19" s="35"/>
      <c r="AE19" s="35"/>
      <c r="AF19" s="35"/>
      <c r="AG19" s="132">
        <f t="shared" si="0"/>
        <v>1</v>
      </c>
      <c r="AH19" s="9">
        <f t="shared" si="1"/>
        <v>4</v>
      </c>
      <c r="AI19" s="122">
        <v>0</v>
      </c>
      <c r="AJ19" s="115">
        <f>'2026.3.'!AL19</f>
        <v>46139</v>
      </c>
      <c r="AK19" s="8">
        <f t="shared" si="3"/>
        <v>46135</v>
      </c>
      <c r="AL19" s="8">
        <f t="shared" si="2"/>
        <v>46175</v>
      </c>
      <c r="AM19" s="81"/>
    </row>
    <row r="20" spans="1:39" x14ac:dyDescent="0.3">
      <c r="A20" s="10">
        <v>115</v>
      </c>
      <c r="B20" s="137"/>
      <c r="C20" s="35"/>
      <c r="D20" s="35"/>
      <c r="E20" s="35"/>
      <c r="F20" s="35"/>
      <c r="G20" s="35" t="s">
        <v>5</v>
      </c>
      <c r="H20" s="35"/>
      <c r="I20" s="35"/>
      <c r="J20" s="35"/>
      <c r="K20" s="35"/>
      <c r="L20" s="35"/>
      <c r="M20" s="35"/>
      <c r="N20" s="35" t="s">
        <v>5</v>
      </c>
      <c r="O20" s="35"/>
      <c r="P20" s="35"/>
      <c r="Q20" s="35"/>
      <c r="R20" s="35"/>
      <c r="S20" s="35"/>
      <c r="T20" s="35"/>
      <c r="U20" s="35" t="s">
        <v>5</v>
      </c>
      <c r="V20" s="35"/>
      <c r="W20" s="35"/>
      <c r="X20" s="35"/>
      <c r="Y20" s="35"/>
      <c r="Z20" s="35"/>
      <c r="AA20" s="35"/>
      <c r="AB20" s="35" t="s">
        <v>5</v>
      </c>
      <c r="AC20" s="35"/>
      <c r="AD20" s="35"/>
      <c r="AE20" s="35"/>
      <c r="AF20" s="134"/>
      <c r="AG20" s="132">
        <f t="shared" si="0"/>
        <v>0</v>
      </c>
      <c r="AH20" s="9">
        <f t="shared" si="1"/>
        <v>4</v>
      </c>
      <c r="AI20" s="122">
        <v>0</v>
      </c>
      <c r="AJ20" s="115">
        <f>'2026.3.'!AL20</f>
        <v>46152</v>
      </c>
      <c r="AK20" s="8" t="str">
        <f t="shared" si="3"/>
        <v/>
      </c>
      <c r="AL20" s="8">
        <f>AJ20</f>
        <v>46152</v>
      </c>
    </row>
    <row r="21" spans="1:39" x14ac:dyDescent="0.3">
      <c r="A21" s="10">
        <v>116</v>
      </c>
      <c r="B21" s="120"/>
      <c r="C21" s="283" t="s">
        <v>156</v>
      </c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  <c r="Q21" s="251"/>
      <c r="R21" s="251"/>
      <c r="S21" s="251"/>
      <c r="T21" s="251"/>
      <c r="U21" s="251"/>
      <c r="V21" s="251"/>
      <c r="W21" s="251"/>
      <c r="X21" s="251"/>
      <c r="Y21" s="251"/>
      <c r="Z21" s="251"/>
      <c r="AA21" s="251"/>
      <c r="AB21" s="251"/>
      <c r="AC21" s="251"/>
      <c r="AD21" s="251"/>
      <c r="AE21" s="284"/>
      <c r="AF21" s="134"/>
      <c r="AG21" s="132">
        <f t="shared" si="0"/>
        <v>0</v>
      </c>
      <c r="AH21" s="9">
        <f t="shared" si="1"/>
        <v>0</v>
      </c>
      <c r="AI21" s="122">
        <v>0</v>
      </c>
      <c r="AJ21" s="115">
        <f>'2026.3.'!AL21</f>
        <v>46133</v>
      </c>
      <c r="AK21" s="8" t="str">
        <f t="shared" si="3"/>
        <v/>
      </c>
      <c r="AL21" s="8">
        <f>AJ21</f>
        <v>46133</v>
      </c>
    </row>
    <row r="22" spans="1:39" x14ac:dyDescent="0.3">
      <c r="A22" s="10">
        <v>117</v>
      </c>
      <c r="B22" s="292" t="s">
        <v>76</v>
      </c>
      <c r="C22" s="254"/>
      <c r="D22" s="249"/>
      <c r="E22" s="134"/>
      <c r="F22" s="134"/>
      <c r="G22" s="134" t="s">
        <v>13</v>
      </c>
      <c r="H22" s="134"/>
      <c r="I22" s="134"/>
      <c r="J22" s="134"/>
      <c r="K22" s="159" t="s">
        <v>5</v>
      </c>
      <c r="L22" s="134"/>
      <c r="M22" s="134"/>
      <c r="N22" s="134"/>
      <c r="O22" s="134"/>
      <c r="P22" s="134"/>
      <c r="Q22" s="134"/>
      <c r="R22" s="159" t="s">
        <v>5</v>
      </c>
      <c r="S22" s="134"/>
      <c r="T22" s="134"/>
      <c r="U22" s="134"/>
      <c r="V22" s="134"/>
      <c r="W22" s="134"/>
      <c r="X22" s="134"/>
      <c r="Y22" s="159" t="s">
        <v>5</v>
      </c>
      <c r="Z22" s="134"/>
      <c r="AA22" s="134"/>
      <c r="AB22" s="134"/>
      <c r="AC22" s="134"/>
      <c r="AD22" s="134"/>
      <c r="AE22" s="134"/>
      <c r="AF22" s="134"/>
      <c r="AG22" s="132">
        <f t="shared" si="0"/>
        <v>1</v>
      </c>
      <c r="AH22" s="9">
        <f t="shared" si="1"/>
        <v>3</v>
      </c>
      <c r="AI22" s="122">
        <v>0</v>
      </c>
      <c r="AJ22" s="115">
        <f>'2026.3.'!AL22</f>
        <v>46119</v>
      </c>
      <c r="AK22" s="8">
        <f t="shared" si="3"/>
        <v>46118</v>
      </c>
      <c r="AL22" s="8">
        <f t="shared" si="2"/>
        <v>46158</v>
      </c>
      <c r="AM22" s="81"/>
    </row>
    <row r="23" spans="1:39" x14ac:dyDescent="0.3">
      <c r="A23" s="10">
        <v>118</v>
      </c>
      <c r="B23" s="120"/>
      <c r="C23" s="134"/>
      <c r="D23" s="134"/>
      <c r="E23" s="159" t="s">
        <v>5</v>
      </c>
      <c r="F23" s="134"/>
      <c r="G23" s="134"/>
      <c r="H23" s="134"/>
      <c r="I23" s="134"/>
      <c r="J23" s="134"/>
      <c r="K23" s="134"/>
      <c r="L23" s="159" t="s">
        <v>5</v>
      </c>
      <c r="M23" s="134"/>
      <c r="N23" s="134"/>
      <c r="O23" s="134" t="s">
        <v>13</v>
      </c>
      <c r="P23" s="134"/>
      <c r="Q23" s="134"/>
      <c r="R23" s="134"/>
      <c r="S23" s="159" t="s">
        <v>5</v>
      </c>
      <c r="T23" s="134"/>
      <c r="U23" s="134"/>
      <c r="V23" s="134"/>
      <c r="W23" s="134"/>
      <c r="X23" s="134"/>
      <c r="Y23" s="134"/>
      <c r="Z23" s="159" t="s">
        <v>5</v>
      </c>
      <c r="AA23" s="134"/>
      <c r="AB23" s="134"/>
      <c r="AC23" s="134"/>
      <c r="AD23" s="134"/>
      <c r="AE23" s="134"/>
      <c r="AF23" s="134"/>
      <c r="AG23" s="132">
        <f t="shared" si="0"/>
        <v>1</v>
      </c>
      <c r="AH23" s="9">
        <f t="shared" si="1"/>
        <v>4</v>
      </c>
      <c r="AI23" s="122">
        <v>0</v>
      </c>
      <c r="AJ23" s="115">
        <f>'2026.3.'!AL23</f>
        <v>46132</v>
      </c>
      <c r="AK23" s="8">
        <f t="shared" si="3"/>
        <v>46126</v>
      </c>
      <c r="AL23" s="8">
        <f t="shared" si="2"/>
        <v>46166</v>
      </c>
      <c r="AM23" s="80"/>
    </row>
    <row r="24" spans="1:39" x14ac:dyDescent="0.3">
      <c r="A24" s="10">
        <v>119</v>
      </c>
      <c r="B24" s="120" t="s">
        <v>13</v>
      </c>
      <c r="C24" s="134"/>
      <c r="D24" s="134"/>
      <c r="E24" s="134"/>
      <c r="F24" s="134"/>
      <c r="G24" s="134"/>
      <c r="H24" s="159" t="s">
        <v>5</v>
      </c>
      <c r="I24" s="134"/>
      <c r="J24" s="134"/>
      <c r="K24" s="134"/>
      <c r="L24" s="134"/>
      <c r="M24" s="134"/>
      <c r="N24" s="134"/>
      <c r="O24" s="159" t="s">
        <v>5</v>
      </c>
      <c r="P24" s="134"/>
      <c r="Q24" s="134"/>
      <c r="R24" s="134"/>
      <c r="S24" s="134"/>
      <c r="T24" s="134"/>
      <c r="U24" s="134"/>
      <c r="V24" s="159" t="s">
        <v>5</v>
      </c>
      <c r="W24" s="134"/>
      <c r="X24" s="134"/>
      <c r="Y24" s="134"/>
      <c r="Z24" s="35"/>
      <c r="AA24" s="35"/>
      <c r="AB24" s="35"/>
      <c r="AC24" s="35" t="s">
        <v>5</v>
      </c>
      <c r="AD24" s="35"/>
      <c r="AE24" s="35"/>
      <c r="AF24" s="134"/>
      <c r="AG24" s="132">
        <f t="shared" si="0"/>
        <v>1</v>
      </c>
      <c r="AH24" s="9">
        <f t="shared" si="1"/>
        <v>4</v>
      </c>
      <c r="AI24" s="122">
        <v>0</v>
      </c>
      <c r="AJ24" s="115">
        <f>'2026.3.'!AL24</f>
        <v>46126</v>
      </c>
      <c r="AK24" s="8">
        <f t="shared" si="3"/>
        <v>46113</v>
      </c>
      <c r="AL24" s="8">
        <f t="shared" si="2"/>
        <v>46153</v>
      </c>
      <c r="AM24" s="80" t="s">
        <v>154</v>
      </c>
    </row>
    <row r="25" spans="1:39" x14ac:dyDescent="0.3">
      <c r="A25" s="10">
        <v>120</v>
      </c>
      <c r="B25" s="120" t="s">
        <v>5</v>
      </c>
      <c r="C25" s="134"/>
      <c r="D25" s="134"/>
      <c r="E25" s="134"/>
      <c r="F25" s="134"/>
      <c r="G25" s="134"/>
      <c r="H25" s="134"/>
      <c r="I25" s="159" t="s">
        <v>5</v>
      </c>
      <c r="J25" s="134"/>
      <c r="K25" s="134"/>
      <c r="L25" s="134"/>
      <c r="M25" s="134"/>
      <c r="N25" s="134"/>
      <c r="O25" s="134"/>
      <c r="P25" s="159" t="s">
        <v>5</v>
      </c>
      <c r="Q25" s="134"/>
      <c r="R25" s="134" t="s">
        <v>13</v>
      </c>
      <c r="S25" s="134"/>
      <c r="T25" s="134"/>
      <c r="U25" s="134"/>
      <c r="V25" s="134"/>
      <c r="W25" s="159" t="s">
        <v>5</v>
      </c>
      <c r="X25" s="134"/>
      <c r="Y25" s="134"/>
      <c r="Z25" s="134"/>
      <c r="AA25" s="134"/>
      <c r="AB25" s="134"/>
      <c r="AC25" s="134"/>
      <c r="AD25" s="159" t="s">
        <v>5</v>
      </c>
      <c r="AE25" s="134"/>
      <c r="AF25" s="134"/>
      <c r="AG25" s="132">
        <f t="shared" si="0"/>
        <v>1</v>
      </c>
      <c r="AH25" s="9">
        <f t="shared" si="1"/>
        <v>5</v>
      </c>
      <c r="AI25" s="122">
        <v>0</v>
      </c>
      <c r="AJ25" s="115">
        <f>'2026.3.'!AL25</f>
        <v>46141</v>
      </c>
      <c r="AK25" s="8">
        <f t="shared" si="3"/>
        <v>46129</v>
      </c>
      <c r="AL25" s="8">
        <f t="shared" si="2"/>
        <v>46169</v>
      </c>
      <c r="AM25" s="81"/>
    </row>
    <row r="26" spans="1:39" x14ac:dyDescent="0.3">
      <c r="A26" s="10">
        <v>121</v>
      </c>
      <c r="B26" s="120"/>
      <c r="C26" s="134"/>
      <c r="D26" s="35"/>
      <c r="E26" s="35" t="s">
        <v>5</v>
      </c>
      <c r="F26" s="35"/>
      <c r="G26" s="35"/>
      <c r="H26" s="134"/>
      <c r="I26" s="134"/>
      <c r="J26" s="134"/>
      <c r="K26" s="134"/>
      <c r="L26" s="35" t="s">
        <v>5</v>
      </c>
      <c r="M26" s="35"/>
      <c r="N26" s="35" t="s">
        <v>13</v>
      </c>
      <c r="O26" s="35"/>
      <c r="P26" s="134"/>
      <c r="Q26" s="134"/>
      <c r="R26" s="134"/>
      <c r="S26" s="159" t="s">
        <v>5</v>
      </c>
      <c r="T26" s="134"/>
      <c r="U26" s="134"/>
      <c r="V26" s="134"/>
      <c r="W26" s="134"/>
      <c r="X26" s="134"/>
      <c r="Y26" s="134"/>
      <c r="Z26" s="159" t="s">
        <v>5</v>
      </c>
      <c r="AA26" s="134"/>
      <c r="AB26" s="134"/>
      <c r="AC26" s="134"/>
      <c r="AD26" s="134"/>
      <c r="AE26" s="134"/>
      <c r="AF26" s="134"/>
      <c r="AG26" s="132">
        <f t="shared" si="0"/>
        <v>1</v>
      </c>
      <c r="AH26" s="9">
        <f t="shared" si="1"/>
        <v>4</v>
      </c>
      <c r="AI26" s="122">
        <v>0</v>
      </c>
      <c r="AJ26" s="115">
        <f>'2026.3.'!AL26</f>
        <v>46130</v>
      </c>
      <c r="AK26" s="8">
        <f t="shared" si="3"/>
        <v>46125</v>
      </c>
      <c r="AL26" s="8">
        <f t="shared" si="2"/>
        <v>46165</v>
      </c>
    </row>
    <row r="27" spans="1:39" x14ac:dyDescent="0.3">
      <c r="A27" s="10">
        <v>122</v>
      </c>
      <c r="B27" s="120"/>
      <c r="C27" s="134"/>
      <c r="D27" s="134"/>
      <c r="E27" s="159" t="s">
        <v>5</v>
      </c>
      <c r="F27" s="134"/>
      <c r="G27" s="134"/>
      <c r="H27" s="134"/>
      <c r="I27" s="134"/>
      <c r="J27" s="134"/>
      <c r="K27" s="134"/>
      <c r="L27" s="159" t="s">
        <v>5</v>
      </c>
      <c r="M27" s="134"/>
      <c r="N27" s="134"/>
      <c r="O27" s="134"/>
      <c r="P27" s="134"/>
      <c r="Q27" s="253" t="s">
        <v>120</v>
      </c>
      <c r="R27" s="254"/>
      <c r="S27" s="254"/>
      <c r="T27" s="254"/>
      <c r="U27" s="254"/>
      <c r="V27" s="249"/>
      <c r="W27" s="134" t="s">
        <v>13</v>
      </c>
      <c r="X27" s="134"/>
      <c r="Y27" s="134"/>
      <c r="Z27" s="134"/>
      <c r="AA27" s="134"/>
      <c r="AB27" s="134"/>
      <c r="AC27" s="159" t="s">
        <v>5</v>
      </c>
      <c r="AD27" s="134"/>
      <c r="AE27" s="134"/>
      <c r="AF27" s="134"/>
      <c r="AG27" s="132">
        <f t="shared" si="0"/>
        <v>1</v>
      </c>
      <c r="AH27" s="9">
        <f t="shared" si="1"/>
        <v>3</v>
      </c>
      <c r="AI27" s="122">
        <v>0</v>
      </c>
      <c r="AJ27" s="115">
        <f>'2026.3.'!AL27</f>
        <v>46125</v>
      </c>
      <c r="AK27" s="8">
        <f t="shared" si="3"/>
        <v>46134</v>
      </c>
      <c r="AL27" s="8">
        <f t="shared" si="2"/>
        <v>46174</v>
      </c>
    </row>
    <row r="28" spans="1:39" x14ac:dyDescent="0.3">
      <c r="A28" s="10">
        <v>123</v>
      </c>
      <c r="B28" s="120"/>
      <c r="C28" s="134"/>
      <c r="D28" s="134"/>
      <c r="E28" s="134"/>
      <c r="F28" s="159" t="s">
        <v>5</v>
      </c>
      <c r="G28" s="134"/>
      <c r="H28" s="134"/>
      <c r="I28" s="134"/>
      <c r="J28" s="134" t="s">
        <v>13</v>
      </c>
      <c r="K28" s="134"/>
      <c r="L28" s="134"/>
      <c r="M28" s="159" t="s">
        <v>5</v>
      </c>
      <c r="N28" s="134"/>
      <c r="O28" s="134"/>
      <c r="P28" s="134"/>
      <c r="Q28" s="134"/>
      <c r="R28" s="134"/>
      <c r="S28" s="134"/>
      <c r="T28" s="159" t="s">
        <v>5</v>
      </c>
      <c r="U28" s="134"/>
      <c r="V28" s="134"/>
      <c r="W28" s="134"/>
      <c r="X28" s="134"/>
      <c r="Y28" s="134"/>
      <c r="Z28" s="134"/>
      <c r="AA28" s="159" t="s">
        <v>5</v>
      </c>
      <c r="AB28" s="134"/>
      <c r="AC28" s="134"/>
      <c r="AD28" s="134"/>
      <c r="AE28" s="134"/>
      <c r="AF28" s="134"/>
      <c r="AG28" s="132">
        <f t="shared" si="0"/>
        <v>1</v>
      </c>
      <c r="AH28" s="9">
        <f t="shared" si="1"/>
        <v>4</v>
      </c>
      <c r="AI28" s="122">
        <v>0</v>
      </c>
      <c r="AJ28" s="115">
        <f>'2026.3.'!AL28</f>
        <v>46127</v>
      </c>
      <c r="AK28" s="8">
        <f t="shared" si="3"/>
        <v>46121</v>
      </c>
      <c r="AL28" s="8">
        <f t="shared" si="2"/>
        <v>46161</v>
      </c>
    </row>
    <row r="29" spans="1:39" x14ac:dyDescent="0.3">
      <c r="A29" s="10" t="s">
        <v>10</v>
      </c>
      <c r="B29" s="123">
        <f>COUNTIF(B6:B28,"7D")</f>
        <v>2</v>
      </c>
      <c r="C29" s="132">
        <f t="shared" ref="C29:AF29" si="4">COUNTIF(C6:C28,"7D")</f>
        <v>3</v>
      </c>
      <c r="D29" s="132">
        <f t="shared" si="4"/>
        <v>3</v>
      </c>
      <c r="E29" s="132">
        <f t="shared" si="4"/>
        <v>3</v>
      </c>
      <c r="F29" s="132">
        <f t="shared" si="4"/>
        <v>3</v>
      </c>
      <c r="G29" s="132">
        <f t="shared" si="4"/>
        <v>3</v>
      </c>
      <c r="H29" s="132">
        <f t="shared" si="4"/>
        <v>3</v>
      </c>
      <c r="I29" s="132">
        <f t="shared" si="4"/>
        <v>3</v>
      </c>
      <c r="J29" s="132">
        <f t="shared" si="4"/>
        <v>3</v>
      </c>
      <c r="K29" s="132">
        <f t="shared" si="4"/>
        <v>3</v>
      </c>
      <c r="L29" s="132">
        <f t="shared" si="4"/>
        <v>3</v>
      </c>
      <c r="M29" s="132">
        <f t="shared" si="4"/>
        <v>2</v>
      </c>
      <c r="N29" s="132">
        <f t="shared" si="4"/>
        <v>3</v>
      </c>
      <c r="O29" s="132">
        <f t="shared" si="4"/>
        <v>3</v>
      </c>
      <c r="P29" s="132">
        <f t="shared" si="4"/>
        <v>3</v>
      </c>
      <c r="Q29" s="132">
        <f t="shared" si="4"/>
        <v>3</v>
      </c>
      <c r="R29" s="132">
        <f t="shared" si="4"/>
        <v>3</v>
      </c>
      <c r="S29" s="132">
        <f t="shared" si="4"/>
        <v>3</v>
      </c>
      <c r="T29" s="132">
        <f t="shared" si="4"/>
        <v>2</v>
      </c>
      <c r="U29" s="132">
        <f t="shared" si="4"/>
        <v>3</v>
      </c>
      <c r="V29" s="132">
        <f t="shared" si="4"/>
        <v>3</v>
      </c>
      <c r="W29" s="132">
        <f t="shared" si="4"/>
        <v>3</v>
      </c>
      <c r="X29" s="132">
        <f t="shared" si="4"/>
        <v>3</v>
      </c>
      <c r="Y29" s="132">
        <f t="shared" si="4"/>
        <v>3</v>
      </c>
      <c r="Z29" s="132">
        <f t="shared" si="4"/>
        <v>3</v>
      </c>
      <c r="AA29" s="132">
        <f t="shared" si="4"/>
        <v>3</v>
      </c>
      <c r="AB29" s="132">
        <f t="shared" si="4"/>
        <v>3</v>
      </c>
      <c r="AC29" s="132">
        <f t="shared" si="4"/>
        <v>3</v>
      </c>
      <c r="AD29" s="132">
        <f t="shared" si="4"/>
        <v>3</v>
      </c>
      <c r="AE29" s="132">
        <f t="shared" si="4"/>
        <v>3</v>
      </c>
      <c r="AF29" s="132">
        <f t="shared" si="4"/>
        <v>0</v>
      </c>
      <c r="AG29" s="132"/>
      <c r="AH29" s="13">
        <f>SUM(B29:AF29)</f>
        <v>87</v>
      </c>
      <c r="AI29" s="139"/>
      <c r="AJ29" s="2"/>
      <c r="AK29" s="14"/>
      <c r="AL29" s="1"/>
    </row>
    <row r="30" spans="1:39" x14ac:dyDescent="0.3">
      <c r="A30" s="10" t="s">
        <v>6</v>
      </c>
      <c r="B30" s="123">
        <v>1</v>
      </c>
      <c r="C30" s="132">
        <v>1</v>
      </c>
      <c r="D30" s="134">
        <v>1</v>
      </c>
      <c r="E30" s="134">
        <v>0</v>
      </c>
      <c r="F30" s="134">
        <v>0</v>
      </c>
      <c r="G30" s="132">
        <v>1</v>
      </c>
      <c r="H30" s="132">
        <v>1</v>
      </c>
      <c r="I30" s="132">
        <v>1</v>
      </c>
      <c r="J30" s="132">
        <v>1</v>
      </c>
      <c r="K30" s="132">
        <v>1</v>
      </c>
      <c r="L30" s="132">
        <v>0</v>
      </c>
      <c r="M30" s="132">
        <v>0</v>
      </c>
      <c r="N30" s="132">
        <v>1</v>
      </c>
      <c r="O30" s="132">
        <v>1</v>
      </c>
      <c r="P30" s="132">
        <v>1</v>
      </c>
      <c r="Q30" s="132">
        <v>1</v>
      </c>
      <c r="R30" s="132">
        <v>1</v>
      </c>
      <c r="S30" s="132">
        <v>0</v>
      </c>
      <c r="T30" s="132">
        <v>0</v>
      </c>
      <c r="U30" s="132">
        <v>1</v>
      </c>
      <c r="V30" s="132">
        <v>1</v>
      </c>
      <c r="W30" s="132">
        <v>1</v>
      </c>
      <c r="X30" s="132">
        <v>1</v>
      </c>
      <c r="Y30" s="132">
        <v>1</v>
      </c>
      <c r="Z30" s="132">
        <v>0</v>
      </c>
      <c r="AA30" s="132">
        <v>0</v>
      </c>
      <c r="AB30" s="132">
        <v>1</v>
      </c>
      <c r="AC30" s="132">
        <v>1</v>
      </c>
      <c r="AD30" s="132">
        <v>1</v>
      </c>
      <c r="AE30" s="132">
        <v>1</v>
      </c>
      <c r="AF30" s="132">
        <v>0</v>
      </c>
      <c r="AG30" s="132"/>
      <c r="AH30" s="132"/>
      <c r="AI30" s="139">
        <f>SUM(B30:AF30)</f>
        <v>22</v>
      </c>
      <c r="AJ30" s="2"/>
      <c r="AK30" s="1"/>
      <c r="AL30" s="1"/>
    </row>
    <row r="31" spans="1:39" ht="17.25" thickBot="1" x14ac:dyDescent="0.35">
      <c r="A31" s="10" t="s">
        <v>12</v>
      </c>
      <c r="B31" s="125">
        <f>COUNTIF(B6:B28,"청")</f>
        <v>1</v>
      </c>
      <c r="C31" s="133">
        <f t="shared" ref="C31:AF31" si="5">COUNTIF(C6:C28,"청")</f>
        <v>1</v>
      </c>
      <c r="D31" s="127">
        <f t="shared" si="5"/>
        <v>1</v>
      </c>
      <c r="E31" s="127">
        <f t="shared" si="5"/>
        <v>0</v>
      </c>
      <c r="F31" s="127">
        <f t="shared" si="5"/>
        <v>0</v>
      </c>
      <c r="G31" s="133">
        <f t="shared" si="5"/>
        <v>1</v>
      </c>
      <c r="H31" s="133">
        <f t="shared" si="5"/>
        <v>1</v>
      </c>
      <c r="I31" s="133">
        <f t="shared" si="5"/>
        <v>1</v>
      </c>
      <c r="J31" s="133">
        <f t="shared" si="5"/>
        <v>1</v>
      </c>
      <c r="K31" s="133">
        <f t="shared" si="5"/>
        <v>1</v>
      </c>
      <c r="L31" s="133">
        <f t="shared" si="5"/>
        <v>0</v>
      </c>
      <c r="M31" s="133">
        <f t="shared" si="5"/>
        <v>0</v>
      </c>
      <c r="N31" s="133">
        <f t="shared" si="5"/>
        <v>1</v>
      </c>
      <c r="O31" s="133">
        <f t="shared" si="5"/>
        <v>1</v>
      </c>
      <c r="P31" s="133">
        <f t="shared" si="5"/>
        <v>1</v>
      </c>
      <c r="Q31" s="133">
        <f t="shared" si="5"/>
        <v>1</v>
      </c>
      <c r="R31" s="133">
        <f t="shared" si="5"/>
        <v>1</v>
      </c>
      <c r="S31" s="133">
        <f t="shared" si="5"/>
        <v>0</v>
      </c>
      <c r="T31" s="133">
        <f t="shared" si="5"/>
        <v>0</v>
      </c>
      <c r="U31" s="133">
        <f t="shared" si="5"/>
        <v>1</v>
      </c>
      <c r="V31" s="133">
        <f t="shared" si="5"/>
        <v>1</v>
      </c>
      <c r="W31" s="127">
        <f t="shared" si="5"/>
        <v>1</v>
      </c>
      <c r="X31" s="127">
        <f t="shared" si="5"/>
        <v>1</v>
      </c>
      <c r="Y31" s="127">
        <f t="shared" si="5"/>
        <v>1</v>
      </c>
      <c r="Z31" s="133">
        <f t="shared" si="5"/>
        <v>0</v>
      </c>
      <c r="AA31" s="133">
        <f t="shared" si="5"/>
        <v>0</v>
      </c>
      <c r="AB31" s="133">
        <f t="shared" si="5"/>
        <v>1</v>
      </c>
      <c r="AC31" s="133">
        <f t="shared" si="5"/>
        <v>1</v>
      </c>
      <c r="AD31" s="133">
        <f t="shared" si="5"/>
        <v>1</v>
      </c>
      <c r="AE31" s="133">
        <f t="shared" si="5"/>
        <v>1</v>
      </c>
      <c r="AF31" s="133">
        <f t="shared" si="5"/>
        <v>0</v>
      </c>
      <c r="AG31" s="133"/>
      <c r="AH31" s="278">
        <f>SUM(B31:AF31)</f>
        <v>22</v>
      </c>
      <c r="AI31" s="279"/>
      <c r="AJ31" s="2"/>
      <c r="AK31" s="1"/>
      <c r="AL31" s="1"/>
    </row>
    <row r="32" spans="1:39" x14ac:dyDescent="0.3">
      <c r="A32" s="17"/>
      <c r="B32" s="17"/>
      <c r="C32" s="85"/>
      <c r="D32" s="105"/>
      <c r="E32" s="86"/>
      <c r="F32" s="106"/>
      <c r="G32" s="34"/>
      <c r="H32" s="34"/>
      <c r="I32" s="34"/>
      <c r="J32" s="34"/>
      <c r="K32" s="87"/>
      <c r="AA32" s="34"/>
      <c r="AB32" s="82"/>
    </row>
    <row r="33" spans="1:24" x14ac:dyDescent="0.3">
      <c r="A33" s="17"/>
      <c r="B33" s="17"/>
      <c r="C33" s="41"/>
      <c r="D33" s="41"/>
      <c r="E33" s="41"/>
      <c r="F33" s="41"/>
    </row>
    <row r="34" spans="1:24" x14ac:dyDescent="0.3">
      <c r="B34" s="245" t="s">
        <v>167</v>
      </c>
      <c r="C34" s="245"/>
      <c r="D34" s="245"/>
      <c r="E34" s="246"/>
      <c r="F34" s="246"/>
      <c r="G34" s="246"/>
      <c r="H34" s="247"/>
      <c r="I34" s="247"/>
      <c r="J34" s="247"/>
      <c r="M34" s="17"/>
      <c r="N34" s="135"/>
      <c r="O34" s="136"/>
    </row>
    <row r="35" spans="1:24" x14ac:dyDescent="0.3">
      <c r="B35" s="245"/>
      <c r="C35" s="245"/>
      <c r="D35" s="245"/>
      <c r="E35" s="246"/>
      <c r="F35" s="246"/>
      <c r="G35" s="246"/>
      <c r="H35" s="247"/>
      <c r="I35" s="247"/>
      <c r="J35" s="247"/>
      <c r="M35" s="17"/>
      <c r="N35" s="135"/>
      <c r="O35" s="136"/>
      <c r="X35" t="s">
        <v>185</v>
      </c>
    </row>
    <row r="36" spans="1:24" ht="26.25" x14ac:dyDescent="0.3">
      <c r="B36" s="245"/>
      <c r="C36" s="245"/>
      <c r="D36" s="245"/>
      <c r="E36" s="246"/>
      <c r="F36" s="246"/>
      <c r="G36" s="246"/>
      <c r="H36" s="247"/>
      <c r="I36" s="247"/>
      <c r="J36" s="247"/>
      <c r="X36" s="217" t="s">
        <v>192</v>
      </c>
    </row>
    <row r="38" spans="1:24" x14ac:dyDescent="0.3">
      <c r="X38" t="s">
        <v>184</v>
      </c>
    </row>
    <row r="39" spans="1:24" ht="26.25" x14ac:dyDescent="0.3">
      <c r="X39" s="84" t="s">
        <v>191</v>
      </c>
    </row>
  </sheetData>
  <mergeCells count="52">
    <mergeCell ref="W7:AB7"/>
    <mergeCell ref="AC10:AE10"/>
    <mergeCell ref="C21:AE21"/>
    <mergeCell ref="B22:D22"/>
    <mergeCell ref="G18:J18"/>
    <mergeCell ref="K15:P15"/>
    <mergeCell ref="Q27:V27"/>
    <mergeCell ref="N3:N4"/>
    <mergeCell ref="A1:AI1"/>
    <mergeCell ref="A2:AI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Z3:Z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AG3:AI4"/>
    <mergeCell ref="AA3:AA4"/>
    <mergeCell ref="AB3:AB4"/>
    <mergeCell ref="AC3:AC4"/>
    <mergeCell ref="AD3:AD4"/>
    <mergeCell ref="AE3:AE4"/>
    <mergeCell ref="AF3:AF4"/>
    <mergeCell ref="B36:D36"/>
    <mergeCell ref="E36:G36"/>
    <mergeCell ref="H36:J36"/>
    <mergeCell ref="AH31:AI31"/>
    <mergeCell ref="B34:D34"/>
    <mergeCell ref="E34:G34"/>
    <mergeCell ref="H34:J34"/>
    <mergeCell ref="B35:D35"/>
    <mergeCell ref="E35:G35"/>
    <mergeCell ref="H35:J35"/>
  </mergeCells>
  <phoneticPr fontId="3" type="noConversion"/>
  <conditionalFormatting sqref="B3:AF6 B7:W7 AC7:AF7 B8:AF9 B10:AC10 AF10 B11:AF14 B15:K15 Q15:AF15 B16:AF17 B18:G18 K18:AF18 B19:AF20 B21:C21 AF21 B22 E22:AF22 B23:AF26 B27:Q27 W27:AF27 B28:AF31">
    <cfRule type="expression" dxfId="8" priority="1">
      <formula>-OR(WEEKDAY(B$3,1)=7,WEEKDAY(B$3,1)=1,B$3=$E$34:$G$36)</formula>
    </cfRule>
  </conditionalFormatting>
  <pageMargins left="0.7" right="0.7" top="0.75" bottom="0.75" header="0.3" footer="0.3"/>
  <pageSetup paperSize="9" scale="6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BCB6-95CA-48F8-920A-33FC73D70B60}">
  <sheetPr>
    <pageSetUpPr fitToPage="1"/>
  </sheetPr>
  <dimension ref="A1:AM39"/>
  <sheetViews>
    <sheetView workbookViewId="0">
      <pane ySplit="5" topLeftCell="A13" activePane="bottomLeft" state="frozen"/>
      <selection pane="bottomLeft" activeCell="AQ11" sqref="AQ11"/>
    </sheetView>
  </sheetViews>
  <sheetFormatPr defaultRowHeight="16.5" x14ac:dyDescent="0.3"/>
  <cols>
    <col min="1" max="1" width="9.125" bestFit="1" customWidth="1"/>
    <col min="2" max="31" width="3.75" customWidth="1"/>
    <col min="32" max="32" width="3.25" customWidth="1"/>
    <col min="33" max="35" width="3.75" customWidth="1"/>
    <col min="36" max="36" width="12.5" hidden="1" customWidth="1"/>
    <col min="37" max="38" width="11.25" hidden="1" customWidth="1"/>
    <col min="39" max="39" width="10.375" hidden="1" customWidth="1"/>
  </cols>
  <sheetData>
    <row r="1" spans="1:39" x14ac:dyDescent="0.3">
      <c r="A1" s="264" t="s">
        <v>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143"/>
      <c r="AK1" s="1"/>
      <c r="AL1" s="1"/>
    </row>
    <row r="2" spans="1:39" ht="17.25" thickBot="1" x14ac:dyDescent="0.35">
      <c r="A2" s="266" t="s">
        <v>159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144"/>
      <c r="AK2" s="1"/>
      <c r="AL2" s="1"/>
    </row>
    <row r="3" spans="1:39" x14ac:dyDescent="0.3">
      <c r="A3" s="268" t="s">
        <v>1</v>
      </c>
      <c r="B3" s="273">
        <v>46143</v>
      </c>
      <c r="C3" s="272">
        <v>46144</v>
      </c>
      <c r="D3" s="272">
        <v>46145</v>
      </c>
      <c r="E3" s="272">
        <v>46146</v>
      </c>
      <c r="F3" s="272">
        <v>46147</v>
      </c>
      <c r="G3" s="272">
        <v>46148</v>
      </c>
      <c r="H3" s="272">
        <v>46149</v>
      </c>
      <c r="I3" s="272">
        <v>46150</v>
      </c>
      <c r="J3" s="272">
        <v>46151</v>
      </c>
      <c r="K3" s="272">
        <v>46152</v>
      </c>
      <c r="L3" s="272">
        <v>46153</v>
      </c>
      <c r="M3" s="272">
        <v>46154</v>
      </c>
      <c r="N3" s="272">
        <v>46155</v>
      </c>
      <c r="O3" s="272">
        <v>46156</v>
      </c>
      <c r="P3" s="272">
        <v>46157</v>
      </c>
      <c r="Q3" s="272">
        <v>46158</v>
      </c>
      <c r="R3" s="272">
        <v>46159</v>
      </c>
      <c r="S3" s="272">
        <v>46160</v>
      </c>
      <c r="T3" s="272">
        <v>46161</v>
      </c>
      <c r="U3" s="272">
        <v>46162</v>
      </c>
      <c r="V3" s="272">
        <v>46163</v>
      </c>
      <c r="W3" s="272">
        <v>46164</v>
      </c>
      <c r="X3" s="272">
        <v>46165</v>
      </c>
      <c r="Y3" s="272">
        <v>46166</v>
      </c>
      <c r="Z3" s="272">
        <v>46167</v>
      </c>
      <c r="AA3" s="272">
        <v>46168</v>
      </c>
      <c r="AB3" s="272">
        <v>46169</v>
      </c>
      <c r="AC3" s="272">
        <v>46170</v>
      </c>
      <c r="AD3" s="272">
        <v>46171</v>
      </c>
      <c r="AE3" s="272">
        <v>46172</v>
      </c>
      <c r="AF3" s="298">
        <v>46173</v>
      </c>
      <c r="AG3" s="296" t="s">
        <v>2</v>
      </c>
      <c r="AH3" s="285"/>
      <c r="AI3" s="286"/>
      <c r="AJ3" s="2"/>
      <c r="AK3" s="1"/>
      <c r="AL3" s="1"/>
    </row>
    <row r="4" spans="1:39" x14ac:dyDescent="0.3">
      <c r="A4" s="269"/>
      <c r="B4" s="274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1"/>
      <c r="X4" s="261"/>
      <c r="Y4" s="261"/>
      <c r="Z4" s="261"/>
      <c r="AA4" s="261"/>
      <c r="AB4" s="261"/>
      <c r="AC4" s="261"/>
      <c r="AD4" s="261"/>
      <c r="AE4" s="261"/>
      <c r="AF4" s="299"/>
      <c r="AG4" s="297"/>
      <c r="AH4" s="255"/>
      <c r="AI4" s="287"/>
      <c r="AJ4" s="2"/>
      <c r="AK4" s="1"/>
      <c r="AL4" s="1"/>
    </row>
    <row r="5" spans="1:39" ht="17.25" thickBot="1" x14ac:dyDescent="0.35">
      <c r="A5" s="66" t="s">
        <v>3</v>
      </c>
      <c r="B5" s="116">
        <v>46143</v>
      </c>
      <c r="C5" s="43">
        <v>46144</v>
      </c>
      <c r="D5" s="43">
        <v>46145</v>
      </c>
      <c r="E5" s="43">
        <v>46146</v>
      </c>
      <c r="F5" s="43">
        <v>46147</v>
      </c>
      <c r="G5" s="43">
        <v>46148</v>
      </c>
      <c r="H5" s="43">
        <v>46149</v>
      </c>
      <c r="I5" s="43">
        <v>46150</v>
      </c>
      <c r="J5" s="43">
        <v>46151</v>
      </c>
      <c r="K5" s="43">
        <v>46152</v>
      </c>
      <c r="L5" s="43">
        <v>46153</v>
      </c>
      <c r="M5" s="43">
        <v>46154</v>
      </c>
      <c r="N5" s="43">
        <v>46155</v>
      </c>
      <c r="O5" s="43">
        <v>46156</v>
      </c>
      <c r="P5" s="43">
        <v>46157</v>
      </c>
      <c r="Q5" s="43">
        <v>46158</v>
      </c>
      <c r="R5" s="43">
        <v>46159</v>
      </c>
      <c r="S5" s="43">
        <v>46160</v>
      </c>
      <c r="T5" s="43">
        <v>46161</v>
      </c>
      <c r="U5" s="43">
        <v>46162</v>
      </c>
      <c r="V5" s="43">
        <v>46163</v>
      </c>
      <c r="W5" s="43">
        <v>46164</v>
      </c>
      <c r="X5" s="43">
        <v>46165</v>
      </c>
      <c r="Y5" s="43">
        <v>46166</v>
      </c>
      <c r="Z5" s="43">
        <v>46167</v>
      </c>
      <c r="AA5" s="43">
        <v>46168</v>
      </c>
      <c r="AB5" s="43">
        <v>46169</v>
      </c>
      <c r="AC5" s="43">
        <v>46170</v>
      </c>
      <c r="AD5" s="43">
        <v>46171</v>
      </c>
      <c r="AE5" s="43">
        <v>46172</v>
      </c>
      <c r="AF5" s="152">
        <v>46173</v>
      </c>
      <c r="AG5" s="113" t="s">
        <v>4</v>
      </c>
      <c r="AH5" s="5" t="s">
        <v>10</v>
      </c>
      <c r="AI5" s="117" t="s">
        <v>6</v>
      </c>
      <c r="AJ5" s="114" t="s">
        <v>7</v>
      </c>
      <c r="AK5" s="6" t="s">
        <v>8</v>
      </c>
      <c r="AL5" s="6" t="s">
        <v>9</v>
      </c>
    </row>
    <row r="6" spans="1:39" ht="17.25" thickTop="1" x14ac:dyDescent="0.3">
      <c r="A6" s="19">
        <v>101</v>
      </c>
      <c r="B6" s="118"/>
      <c r="C6" s="18"/>
      <c r="D6" s="18"/>
      <c r="E6" s="18"/>
      <c r="F6" s="18"/>
      <c r="G6" s="18"/>
      <c r="H6" s="18" t="s">
        <v>10</v>
      </c>
      <c r="I6" s="18"/>
      <c r="J6" s="42"/>
      <c r="K6" s="42"/>
      <c r="L6" s="42"/>
      <c r="M6" s="42"/>
      <c r="N6" s="18"/>
      <c r="O6" s="18" t="s">
        <v>5</v>
      </c>
      <c r="P6" s="18"/>
      <c r="Q6" s="18"/>
      <c r="R6" s="42"/>
      <c r="S6" s="42"/>
      <c r="T6" s="42"/>
      <c r="U6" s="42"/>
      <c r="V6" s="18" t="s">
        <v>5</v>
      </c>
      <c r="W6" s="18"/>
      <c r="X6" s="18"/>
      <c r="Y6" s="18"/>
      <c r="Z6" s="18"/>
      <c r="AA6" s="18" t="s">
        <v>13</v>
      </c>
      <c r="AB6" s="18"/>
      <c r="AC6" s="18" t="s">
        <v>5</v>
      </c>
      <c r="AD6" s="18"/>
      <c r="AE6" s="18"/>
      <c r="AF6" s="151"/>
      <c r="AG6" s="142">
        <f>COUNTIF(B6:AF6,"청")</f>
        <v>1</v>
      </c>
      <c r="AH6" s="112">
        <f>COUNTIF(B6:AF6,"7D")</f>
        <v>4</v>
      </c>
      <c r="AI6" s="119">
        <v>0</v>
      </c>
      <c r="AJ6" s="115">
        <f>'2026.4.'!AL6</f>
        <v>46172</v>
      </c>
      <c r="AK6" s="8">
        <f>IFERROR(INDEX($B$3:$AF$5,1,MATCH("청",B6:AF6,0)),"")</f>
        <v>46168</v>
      </c>
      <c r="AL6" s="8">
        <f>IFERROR(AK6+40,"")</f>
        <v>46208</v>
      </c>
      <c r="AM6" s="81"/>
    </row>
    <row r="7" spans="1:39" x14ac:dyDescent="0.3">
      <c r="A7" s="10">
        <v>102</v>
      </c>
      <c r="B7" s="120"/>
      <c r="C7" s="148"/>
      <c r="D7" s="148"/>
      <c r="E7" s="161" t="s">
        <v>5</v>
      </c>
      <c r="F7" s="148"/>
      <c r="G7" s="148"/>
      <c r="H7" s="148"/>
      <c r="I7" s="148"/>
      <c r="J7" s="148"/>
      <c r="K7" s="148"/>
      <c r="L7" s="161" t="s">
        <v>5</v>
      </c>
      <c r="M7" s="148"/>
      <c r="N7" s="148"/>
      <c r="O7" s="148"/>
      <c r="P7" s="148"/>
      <c r="Q7" s="148"/>
      <c r="R7" s="148"/>
      <c r="S7" s="161" t="s">
        <v>5</v>
      </c>
      <c r="T7" s="148"/>
      <c r="U7" s="148"/>
      <c r="V7" s="148"/>
      <c r="W7" s="35"/>
      <c r="X7" s="35"/>
      <c r="Y7" s="35"/>
      <c r="Z7" s="35" t="s">
        <v>5</v>
      </c>
      <c r="AA7" s="35"/>
      <c r="AB7" s="35"/>
      <c r="AC7" s="148"/>
      <c r="AD7" s="148"/>
      <c r="AE7" s="148"/>
      <c r="AF7" s="149"/>
      <c r="AG7" s="45">
        <f t="shared" ref="AG7:AG28" si="0">COUNTIF(B7:AF7,"청")</f>
        <v>0</v>
      </c>
      <c r="AH7" s="44">
        <f t="shared" ref="AH7:AH28" si="1">COUNTIF(B7:AF7,"7D")</f>
        <v>4</v>
      </c>
      <c r="AI7" s="121">
        <v>0</v>
      </c>
      <c r="AJ7" s="115">
        <f>'2026.4.'!AL7</f>
        <v>46180</v>
      </c>
      <c r="AK7" s="8" t="str">
        <f t="shared" ref="AK7:AK28" si="2">IFERROR(INDEX($B$3:$AF$5,1,MATCH("청",B7:AF7,0)),"")</f>
        <v/>
      </c>
      <c r="AL7" s="8">
        <f>AJ7</f>
        <v>46180</v>
      </c>
      <c r="AM7" s="81"/>
    </row>
    <row r="8" spans="1:39" x14ac:dyDescent="0.3">
      <c r="A8" s="10">
        <v>103</v>
      </c>
      <c r="B8" s="120"/>
      <c r="C8" s="35"/>
      <c r="D8" s="35"/>
      <c r="E8" s="35"/>
      <c r="F8" s="35"/>
      <c r="G8" s="148"/>
      <c r="H8" s="161" t="s">
        <v>5</v>
      </c>
      <c r="I8" s="148"/>
      <c r="J8" s="148"/>
      <c r="K8" s="148"/>
      <c r="L8" s="148"/>
      <c r="M8" s="148"/>
      <c r="N8" s="148"/>
      <c r="O8" s="161" t="s">
        <v>5</v>
      </c>
      <c r="P8" s="148"/>
      <c r="Q8" s="148"/>
      <c r="R8" s="148"/>
      <c r="S8" s="148"/>
      <c r="T8" s="148"/>
      <c r="U8" s="148"/>
      <c r="V8" s="161" t="s">
        <v>5</v>
      </c>
      <c r="W8" s="148"/>
      <c r="X8" s="148"/>
      <c r="Y8" s="148"/>
      <c r="Z8" s="148"/>
      <c r="AA8" s="148"/>
      <c r="AB8" s="161" t="s">
        <v>5</v>
      </c>
      <c r="AC8" s="148" t="s">
        <v>13</v>
      </c>
      <c r="AD8" s="148"/>
      <c r="AE8" s="148"/>
      <c r="AF8" s="149"/>
      <c r="AG8" s="16">
        <f t="shared" si="0"/>
        <v>1</v>
      </c>
      <c r="AH8" s="9">
        <f t="shared" si="1"/>
        <v>4</v>
      </c>
      <c r="AI8" s="122">
        <v>0</v>
      </c>
      <c r="AJ8" s="115">
        <f>'2026.4.'!AL8</f>
        <v>46160</v>
      </c>
      <c r="AK8" s="8">
        <f t="shared" si="2"/>
        <v>46170</v>
      </c>
      <c r="AL8" s="8">
        <f t="shared" ref="AL8:AL28" si="3">IFERROR(AK8+40,"")</f>
        <v>46210</v>
      </c>
      <c r="AM8" s="81"/>
    </row>
    <row r="9" spans="1:39" x14ac:dyDescent="0.3">
      <c r="A9" s="10">
        <v>104</v>
      </c>
      <c r="B9" s="120"/>
      <c r="C9" s="148"/>
      <c r="D9" s="148"/>
      <c r="E9" s="148"/>
      <c r="F9" s="148"/>
      <c r="G9" s="161" t="s">
        <v>5</v>
      </c>
      <c r="H9" s="148"/>
      <c r="I9" s="148"/>
      <c r="J9" s="148"/>
      <c r="K9" s="148"/>
      <c r="L9" s="148"/>
      <c r="M9" s="148"/>
      <c r="N9" s="35" t="s">
        <v>5</v>
      </c>
      <c r="O9" s="35"/>
      <c r="P9" s="35"/>
      <c r="Q9" s="35"/>
      <c r="R9" s="35"/>
      <c r="S9" s="35"/>
      <c r="T9" s="148"/>
      <c r="U9" s="161" t="s">
        <v>5</v>
      </c>
      <c r="V9" s="148"/>
      <c r="W9" s="148"/>
      <c r="X9" s="148"/>
      <c r="Y9" s="148"/>
      <c r="Z9" s="148"/>
      <c r="AA9" s="148"/>
      <c r="AB9" s="161" t="s">
        <v>5</v>
      </c>
      <c r="AC9" s="148"/>
      <c r="AD9" s="148"/>
      <c r="AE9" s="148"/>
      <c r="AF9" s="149"/>
      <c r="AG9" s="16">
        <f t="shared" si="0"/>
        <v>0</v>
      </c>
      <c r="AH9" s="9">
        <f t="shared" si="1"/>
        <v>4</v>
      </c>
      <c r="AI9" s="122">
        <v>0</v>
      </c>
      <c r="AJ9" s="115">
        <f>'2026.4.'!AL9</f>
        <v>46173</v>
      </c>
      <c r="AK9" s="8" t="str">
        <f t="shared" si="2"/>
        <v/>
      </c>
      <c r="AL9" s="8">
        <f>AJ9</f>
        <v>46173</v>
      </c>
    </row>
    <row r="10" spans="1:39" x14ac:dyDescent="0.3">
      <c r="A10" s="10">
        <v>105</v>
      </c>
      <c r="B10" s="292" t="s">
        <v>77</v>
      </c>
      <c r="C10" s="254"/>
      <c r="D10" s="254"/>
      <c r="E10" s="249"/>
      <c r="F10" s="148"/>
      <c r="G10" s="148" t="s">
        <v>13</v>
      </c>
      <c r="H10" s="148"/>
      <c r="I10" s="148"/>
      <c r="J10" s="148"/>
      <c r="K10" s="148"/>
      <c r="L10" s="161" t="s">
        <v>5</v>
      </c>
      <c r="M10" s="148"/>
      <c r="N10" s="148"/>
      <c r="O10" s="148"/>
      <c r="P10" s="148"/>
      <c r="Q10" s="148"/>
      <c r="R10" s="148"/>
      <c r="S10" s="161" t="s">
        <v>5</v>
      </c>
      <c r="T10" s="148"/>
      <c r="U10" s="148"/>
      <c r="V10" s="148"/>
      <c r="W10" s="148"/>
      <c r="X10" s="148"/>
      <c r="Y10" s="148"/>
      <c r="Z10" s="161" t="s">
        <v>5</v>
      </c>
      <c r="AA10" s="148"/>
      <c r="AB10" s="148"/>
      <c r="AC10" s="35"/>
      <c r="AD10" s="35"/>
      <c r="AE10" s="35"/>
      <c r="AF10" s="149"/>
      <c r="AG10" s="16">
        <f t="shared" si="0"/>
        <v>1</v>
      </c>
      <c r="AH10" s="9">
        <f t="shared" si="1"/>
        <v>3</v>
      </c>
      <c r="AI10" s="122">
        <v>0</v>
      </c>
      <c r="AJ10" s="115">
        <f>'2026.4.'!AL10</f>
        <v>46167</v>
      </c>
      <c r="AK10" s="8">
        <f t="shared" si="2"/>
        <v>46148</v>
      </c>
      <c r="AL10" s="8">
        <f t="shared" si="3"/>
        <v>46188</v>
      </c>
      <c r="AM10" s="80" t="s">
        <v>158</v>
      </c>
    </row>
    <row r="11" spans="1:39" x14ac:dyDescent="0.3">
      <c r="A11" s="10">
        <v>106</v>
      </c>
      <c r="B11" s="137"/>
      <c r="C11" s="35"/>
      <c r="D11" s="35" t="s">
        <v>5</v>
      </c>
      <c r="E11" s="35"/>
      <c r="F11" s="35"/>
      <c r="G11" s="35"/>
      <c r="H11" s="35"/>
      <c r="I11" s="35"/>
      <c r="J11" s="35"/>
      <c r="K11" s="35" t="s">
        <v>5</v>
      </c>
      <c r="L11" s="35"/>
      <c r="M11" s="148"/>
      <c r="N11" s="148"/>
      <c r="O11" s="148"/>
      <c r="P11" s="148"/>
      <c r="Q11" s="148"/>
      <c r="R11" s="161" t="s">
        <v>5</v>
      </c>
      <c r="S11" s="148"/>
      <c r="T11" s="148"/>
      <c r="U11" s="148"/>
      <c r="V11" s="148"/>
      <c r="W11" s="148"/>
      <c r="X11" s="148"/>
      <c r="Y11" s="161" t="s">
        <v>5</v>
      </c>
      <c r="Z11" s="148"/>
      <c r="AA11" s="148"/>
      <c r="AB11" s="148"/>
      <c r="AC11" s="148"/>
      <c r="AD11" s="148"/>
      <c r="AE11" s="148"/>
      <c r="AF11" s="149" t="s">
        <v>5</v>
      </c>
      <c r="AG11" s="16">
        <f t="shared" si="0"/>
        <v>0</v>
      </c>
      <c r="AH11" s="9">
        <f t="shared" si="1"/>
        <v>5</v>
      </c>
      <c r="AI11" s="122">
        <v>0</v>
      </c>
      <c r="AJ11" s="115">
        <f>'2026.4.'!AL11</f>
        <v>46176</v>
      </c>
      <c r="AK11" s="8" t="str">
        <f t="shared" si="2"/>
        <v/>
      </c>
      <c r="AL11" s="8">
        <f>AJ11</f>
        <v>46176</v>
      </c>
    </row>
    <row r="12" spans="1:39" x14ac:dyDescent="0.3">
      <c r="A12" s="10">
        <v>107</v>
      </c>
      <c r="B12" s="120"/>
      <c r="C12" s="148"/>
      <c r="D12" s="148"/>
      <c r="E12" s="161" t="s">
        <v>5</v>
      </c>
      <c r="F12" s="148"/>
      <c r="G12" s="148"/>
      <c r="H12" s="148"/>
      <c r="I12" s="148"/>
      <c r="J12" s="148"/>
      <c r="K12" s="35"/>
      <c r="L12" s="35" t="s">
        <v>5</v>
      </c>
      <c r="M12" s="35"/>
      <c r="N12" s="35"/>
      <c r="O12" s="35"/>
      <c r="P12" s="35"/>
      <c r="Q12" s="35"/>
      <c r="R12" s="35"/>
      <c r="S12" s="35" t="s">
        <v>5</v>
      </c>
      <c r="T12" s="35"/>
      <c r="U12" s="35"/>
      <c r="V12" s="35"/>
      <c r="W12" s="35"/>
      <c r="X12" s="35"/>
      <c r="Y12" s="35" t="s">
        <v>5</v>
      </c>
      <c r="Z12" s="35"/>
      <c r="AA12" s="35"/>
      <c r="AB12" s="35"/>
      <c r="AC12" s="35"/>
      <c r="AD12" s="148"/>
      <c r="AE12" s="148"/>
      <c r="AF12" s="149" t="s">
        <v>5</v>
      </c>
      <c r="AG12" s="16">
        <f t="shared" si="0"/>
        <v>0</v>
      </c>
      <c r="AH12" s="9">
        <f t="shared" si="1"/>
        <v>5</v>
      </c>
      <c r="AI12" s="122">
        <v>0</v>
      </c>
      <c r="AJ12" s="115">
        <f>'2026.4.'!AL12</f>
        <v>46181</v>
      </c>
      <c r="AK12" s="8" t="str">
        <f t="shared" si="2"/>
        <v/>
      </c>
      <c r="AL12" s="8">
        <f>AJ12</f>
        <v>46181</v>
      </c>
      <c r="AM12" s="81"/>
    </row>
    <row r="13" spans="1:39" x14ac:dyDescent="0.3">
      <c r="A13" s="10">
        <v>108</v>
      </c>
      <c r="B13" s="120"/>
      <c r="C13" s="161" t="s">
        <v>5</v>
      </c>
      <c r="D13" s="148"/>
      <c r="E13" s="148"/>
      <c r="F13" s="148"/>
      <c r="G13" s="148"/>
      <c r="H13" s="148"/>
      <c r="I13" s="148"/>
      <c r="J13" s="161" t="s">
        <v>5</v>
      </c>
      <c r="K13" s="148"/>
      <c r="L13" s="148"/>
      <c r="M13" s="148"/>
      <c r="N13" s="148"/>
      <c r="O13" s="148"/>
      <c r="P13" s="148"/>
      <c r="Q13" s="161" t="s">
        <v>5</v>
      </c>
      <c r="R13" s="148"/>
      <c r="S13" s="148"/>
      <c r="T13" s="253" t="s">
        <v>113</v>
      </c>
      <c r="U13" s="254"/>
      <c r="V13" s="254"/>
      <c r="W13" s="254"/>
      <c r="X13" s="254"/>
      <c r="Y13" s="254"/>
      <c r="Z13" s="254"/>
      <c r="AA13" s="249"/>
      <c r="AB13" s="148" t="s">
        <v>13</v>
      </c>
      <c r="AC13" s="148"/>
      <c r="AD13" s="161"/>
      <c r="AE13" s="148"/>
      <c r="AF13" s="149"/>
      <c r="AG13" s="16">
        <f t="shared" si="0"/>
        <v>1</v>
      </c>
      <c r="AH13" s="9">
        <f t="shared" si="1"/>
        <v>3</v>
      </c>
      <c r="AI13" s="122">
        <v>0</v>
      </c>
      <c r="AJ13" s="115">
        <f>'2026.4.'!AL13</f>
        <v>46154</v>
      </c>
      <c r="AK13" s="8">
        <f t="shared" si="2"/>
        <v>46169</v>
      </c>
      <c r="AL13" s="8">
        <f t="shared" si="3"/>
        <v>46209</v>
      </c>
      <c r="AM13" s="80"/>
    </row>
    <row r="14" spans="1:39" x14ac:dyDescent="0.3">
      <c r="A14" s="10">
        <v>109</v>
      </c>
      <c r="B14" s="120"/>
      <c r="C14" s="161" t="s">
        <v>5</v>
      </c>
      <c r="D14" s="148"/>
      <c r="E14" s="148"/>
      <c r="F14" s="148"/>
      <c r="G14" s="148"/>
      <c r="H14" s="148"/>
      <c r="I14" s="148"/>
      <c r="J14" s="161" t="s">
        <v>5</v>
      </c>
      <c r="K14" s="148"/>
      <c r="L14" s="148"/>
      <c r="M14" s="35"/>
      <c r="N14" s="35"/>
      <c r="O14" s="35"/>
      <c r="P14" s="35"/>
      <c r="Q14" s="35" t="s">
        <v>5</v>
      </c>
      <c r="R14" s="35"/>
      <c r="S14" s="35"/>
      <c r="T14" s="35"/>
      <c r="U14" s="35"/>
      <c r="V14" s="148"/>
      <c r="W14" s="148"/>
      <c r="X14" s="161" t="s">
        <v>5</v>
      </c>
      <c r="Y14" s="148"/>
      <c r="Z14" s="148"/>
      <c r="AA14" s="148"/>
      <c r="AB14" s="35"/>
      <c r="AC14" s="35"/>
      <c r="AD14" s="148"/>
      <c r="AE14" s="161" t="s">
        <v>5</v>
      </c>
      <c r="AF14" s="149"/>
      <c r="AG14" s="16">
        <f t="shared" si="0"/>
        <v>0</v>
      </c>
      <c r="AH14" s="9">
        <f t="shared" si="1"/>
        <v>5</v>
      </c>
      <c r="AI14" s="122">
        <v>0</v>
      </c>
      <c r="AJ14" s="115">
        <f>'2026.4.'!AL14</f>
        <v>46179</v>
      </c>
      <c r="AK14" s="8" t="str">
        <f t="shared" si="2"/>
        <v/>
      </c>
      <c r="AL14" s="8">
        <f>AJ14</f>
        <v>46179</v>
      </c>
    </row>
    <row r="15" spans="1:39" x14ac:dyDescent="0.3">
      <c r="A15" s="10">
        <v>110</v>
      </c>
      <c r="B15" s="137"/>
      <c r="C15" s="35"/>
      <c r="D15" s="35"/>
      <c r="E15" s="35"/>
      <c r="F15" s="148"/>
      <c r="G15" s="161" t="s">
        <v>5</v>
      </c>
      <c r="H15" s="148"/>
      <c r="I15" s="148"/>
      <c r="J15" s="148"/>
      <c r="K15" s="35"/>
      <c r="L15" s="35"/>
      <c r="M15" s="35"/>
      <c r="N15" s="35" t="s">
        <v>5</v>
      </c>
      <c r="O15" s="35"/>
      <c r="P15" s="35"/>
      <c r="Q15" s="148"/>
      <c r="R15" s="148"/>
      <c r="S15" s="148"/>
      <c r="T15" s="148"/>
      <c r="U15" s="161" t="s">
        <v>5</v>
      </c>
      <c r="V15" s="148"/>
      <c r="W15" s="148"/>
      <c r="X15" s="148"/>
      <c r="Y15" s="148"/>
      <c r="Z15" s="148"/>
      <c r="AA15" s="148"/>
      <c r="AB15" s="148"/>
      <c r="AC15" s="161" t="s">
        <v>5</v>
      </c>
      <c r="AD15" s="148" t="s">
        <v>13</v>
      </c>
      <c r="AE15" s="148"/>
      <c r="AF15" s="149"/>
      <c r="AG15" s="16">
        <f t="shared" si="0"/>
        <v>1</v>
      </c>
      <c r="AH15" s="9">
        <f t="shared" si="1"/>
        <v>4</v>
      </c>
      <c r="AI15" s="122">
        <v>0</v>
      </c>
      <c r="AJ15" s="115">
        <f>'2026.4.'!AL15</f>
        <v>46168</v>
      </c>
      <c r="AK15" s="8">
        <f t="shared" si="2"/>
        <v>46171</v>
      </c>
      <c r="AL15" s="8">
        <f t="shared" si="3"/>
        <v>46211</v>
      </c>
    </row>
    <row r="16" spans="1:39" x14ac:dyDescent="0.3">
      <c r="A16" s="10">
        <v>111</v>
      </c>
      <c r="B16" s="120"/>
      <c r="C16" s="148"/>
      <c r="D16" s="148"/>
      <c r="E16" s="161" t="s">
        <v>5</v>
      </c>
      <c r="F16" s="148"/>
      <c r="G16" s="148"/>
      <c r="H16" s="148"/>
      <c r="I16" s="148"/>
      <c r="J16" s="148"/>
      <c r="K16" s="148"/>
      <c r="L16" s="148"/>
      <c r="M16" s="253" t="s">
        <v>82</v>
      </c>
      <c r="N16" s="254"/>
      <c r="O16" s="254"/>
      <c r="P16" s="249"/>
      <c r="Q16" s="148"/>
      <c r="R16" s="148"/>
      <c r="S16" s="148"/>
      <c r="T16" s="148" t="s">
        <v>13</v>
      </c>
      <c r="U16" s="148"/>
      <c r="V16" s="35"/>
      <c r="W16" s="35" t="s">
        <v>5</v>
      </c>
      <c r="X16" s="35"/>
      <c r="Y16" s="35"/>
      <c r="Z16" s="35"/>
      <c r="AA16" s="35"/>
      <c r="AB16" s="148"/>
      <c r="AC16" s="148"/>
      <c r="AD16" s="161" t="s">
        <v>5</v>
      </c>
      <c r="AE16" s="148"/>
      <c r="AF16" s="149"/>
      <c r="AG16" s="16">
        <f t="shared" si="0"/>
        <v>1</v>
      </c>
      <c r="AH16" s="9">
        <f t="shared" si="1"/>
        <v>3</v>
      </c>
      <c r="AI16" s="122">
        <v>0</v>
      </c>
      <c r="AJ16" s="115">
        <f>'2026.4.'!AL16</f>
        <v>46182</v>
      </c>
      <c r="AK16" s="8">
        <f t="shared" si="2"/>
        <v>46161</v>
      </c>
      <c r="AL16" s="8">
        <f t="shared" si="3"/>
        <v>46201</v>
      </c>
    </row>
    <row r="17" spans="1:39" x14ac:dyDescent="0.3">
      <c r="A17" s="10">
        <v>112</v>
      </c>
      <c r="B17" s="120"/>
      <c r="C17" s="148"/>
      <c r="D17" s="148"/>
      <c r="E17" s="148"/>
      <c r="F17" s="148"/>
      <c r="G17" s="148"/>
      <c r="H17" s="161" t="s">
        <v>5</v>
      </c>
      <c r="I17" s="148"/>
      <c r="J17" s="148"/>
      <c r="K17" s="148"/>
      <c r="L17" s="148" t="s">
        <v>13</v>
      </c>
      <c r="M17" s="148"/>
      <c r="N17" s="148"/>
      <c r="O17" s="161" t="s">
        <v>5</v>
      </c>
      <c r="P17" s="148"/>
      <c r="Q17" s="148"/>
      <c r="R17" s="148"/>
      <c r="S17" s="148"/>
      <c r="T17" s="148"/>
      <c r="U17" s="148"/>
      <c r="V17" s="161" t="s">
        <v>5</v>
      </c>
      <c r="W17" s="148"/>
      <c r="X17" s="35"/>
      <c r="Y17" s="35"/>
      <c r="Z17" s="35"/>
      <c r="AA17" s="35"/>
      <c r="AB17" s="148"/>
      <c r="AC17" s="161" t="s">
        <v>5</v>
      </c>
      <c r="AD17" s="148"/>
      <c r="AE17" s="148"/>
      <c r="AF17" s="149"/>
      <c r="AG17" s="16">
        <f t="shared" si="0"/>
        <v>1</v>
      </c>
      <c r="AH17" s="9">
        <f t="shared" si="1"/>
        <v>4</v>
      </c>
      <c r="AI17" s="122">
        <v>0</v>
      </c>
      <c r="AJ17" s="115">
        <f>'2026.4.'!AL17</f>
        <v>46155</v>
      </c>
      <c r="AK17" s="8">
        <f t="shared" si="2"/>
        <v>46153</v>
      </c>
      <c r="AL17" s="8">
        <f t="shared" si="3"/>
        <v>46193</v>
      </c>
      <c r="AM17" s="81"/>
    </row>
    <row r="18" spans="1:39" x14ac:dyDescent="0.3">
      <c r="A18" s="10">
        <v>113</v>
      </c>
      <c r="B18" s="120" t="s">
        <v>5</v>
      </c>
      <c r="C18" s="148"/>
      <c r="D18" s="148"/>
      <c r="E18" s="148"/>
      <c r="F18" s="35"/>
      <c r="G18" s="35"/>
      <c r="H18" s="35"/>
      <c r="I18" s="35" t="s">
        <v>5</v>
      </c>
      <c r="J18" s="35"/>
      <c r="K18" s="35"/>
      <c r="L18" s="148"/>
      <c r="M18" s="148"/>
      <c r="N18" s="148"/>
      <c r="O18" s="148" t="s">
        <v>13</v>
      </c>
      <c r="P18" s="161" t="s">
        <v>5</v>
      </c>
      <c r="Q18" s="148"/>
      <c r="R18" s="148"/>
      <c r="S18" s="148"/>
      <c r="T18" s="148"/>
      <c r="U18" s="148"/>
      <c r="V18" s="148"/>
      <c r="W18" s="161" t="s">
        <v>5</v>
      </c>
      <c r="X18" s="148"/>
      <c r="Y18" s="148"/>
      <c r="Z18" s="148"/>
      <c r="AA18" s="148"/>
      <c r="AB18" s="148"/>
      <c r="AC18" s="148"/>
      <c r="AD18" s="161" t="s">
        <v>5</v>
      </c>
      <c r="AE18" s="148"/>
      <c r="AF18" s="149"/>
      <c r="AG18" s="16">
        <f t="shared" si="0"/>
        <v>1</v>
      </c>
      <c r="AH18" s="9">
        <f t="shared" si="1"/>
        <v>5</v>
      </c>
      <c r="AI18" s="122">
        <v>0</v>
      </c>
      <c r="AJ18" s="115">
        <f>'2026.4.'!AL18</f>
        <v>46162</v>
      </c>
      <c r="AK18" s="8">
        <f t="shared" si="2"/>
        <v>46156</v>
      </c>
      <c r="AL18" s="8">
        <f t="shared" si="3"/>
        <v>46196</v>
      </c>
    </row>
    <row r="19" spans="1:39" x14ac:dyDescent="0.3">
      <c r="A19" s="10">
        <v>114</v>
      </c>
      <c r="B19" s="140"/>
      <c r="C19" s="138"/>
      <c r="D19" s="138"/>
      <c r="E19" s="138"/>
      <c r="F19" s="161" t="s">
        <v>5</v>
      </c>
      <c r="G19" s="148"/>
      <c r="H19" s="148"/>
      <c r="I19" s="148"/>
      <c r="J19" s="148"/>
      <c r="K19" s="148"/>
      <c r="L19" s="148"/>
      <c r="M19" s="161" t="s">
        <v>5</v>
      </c>
      <c r="N19" s="148"/>
      <c r="O19" s="148"/>
      <c r="P19" s="148"/>
      <c r="Q19" s="148"/>
      <c r="R19" s="148"/>
      <c r="S19" s="148"/>
      <c r="T19" s="161" t="s">
        <v>5</v>
      </c>
      <c r="U19" s="148"/>
      <c r="V19" s="148"/>
      <c r="W19" s="148"/>
      <c r="X19" s="148"/>
      <c r="Y19" s="148"/>
      <c r="Z19" s="148"/>
      <c r="AA19" s="35"/>
      <c r="AB19" s="254" t="s">
        <v>164</v>
      </c>
      <c r="AC19" s="254"/>
      <c r="AD19" s="254"/>
      <c r="AE19" s="254"/>
      <c r="AF19" s="300"/>
      <c r="AG19" s="16">
        <f t="shared" si="0"/>
        <v>0</v>
      </c>
      <c r="AH19" s="9">
        <f t="shared" si="1"/>
        <v>3</v>
      </c>
      <c r="AI19" s="122">
        <v>0</v>
      </c>
      <c r="AJ19" s="115">
        <f>'2026.4.'!AL19</f>
        <v>46175</v>
      </c>
      <c r="AK19" s="8" t="str">
        <f t="shared" si="2"/>
        <v/>
      </c>
      <c r="AL19" s="8">
        <f>AJ19</f>
        <v>46175</v>
      </c>
      <c r="AM19" s="80" t="s">
        <v>163</v>
      </c>
    </row>
    <row r="20" spans="1:39" x14ac:dyDescent="0.3">
      <c r="A20" s="10">
        <v>115</v>
      </c>
      <c r="B20" s="137"/>
      <c r="C20" s="35"/>
      <c r="D20" s="35" t="s">
        <v>5</v>
      </c>
      <c r="E20" s="35" t="s">
        <v>13</v>
      </c>
      <c r="F20" s="35"/>
      <c r="G20" s="35"/>
      <c r="H20" s="35"/>
      <c r="I20" s="35"/>
      <c r="J20" s="35"/>
      <c r="K20" s="35" t="s">
        <v>5</v>
      </c>
      <c r="L20" s="35"/>
      <c r="M20" s="35"/>
      <c r="N20" s="35"/>
      <c r="O20" s="35"/>
      <c r="P20" s="35"/>
      <c r="Q20" s="35"/>
      <c r="R20" s="35" t="s">
        <v>5</v>
      </c>
      <c r="S20" s="35"/>
      <c r="T20" s="35"/>
      <c r="U20" s="35"/>
      <c r="V20" s="35"/>
      <c r="W20" s="35"/>
      <c r="X20" s="35"/>
      <c r="Y20" s="35" t="s">
        <v>5</v>
      </c>
      <c r="Z20" s="35"/>
      <c r="AA20" s="35"/>
      <c r="AB20" s="35"/>
      <c r="AC20" s="35"/>
      <c r="AD20" s="35"/>
      <c r="AE20" s="35"/>
      <c r="AF20" s="149" t="s">
        <v>5</v>
      </c>
      <c r="AG20" s="16">
        <f t="shared" si="0"/>
        <v>1</v>
      </c>
      <c r="AH20" s="9">
        <f t="shared" si="1"/>
        <v>5</v>
      </c>
      <c r="AI20" s="122">
        <v>0</v>
      </c>
      <c r="AJ20" s="115">
        <f>'2026.4.'!AL20</f>
        <v>46152</v>
      </c>
      <c r="AK20" s="8">
        <f t="shared" si="2"/>
        <v>46146</v>
      </c>
      <c r="AL20" s="8">
        <f t="shared" si="3"/>
        <v>46186</v>
      </c>
    </row>
    <row r="21" spans="1:39" x14ac:dyDescent="0.3">
      <c r="A21" s="10">
        <v>116</v>
      </c>
      <c r="B21" s="291" t="s">
        <v>156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  <c r="Q21" s="251"/>
      <c r="R21" s="251"/>
      <c r="S21" s="251"/>
      <c r="T21" s="251"/>
      <c r="U21" s="284"/>
      <c r="V21" s="35" t="s">
        <v>13</v>
      </c>
      <c r="W21" s="35"/>
      <c r="X21" s="35"/>
      <c r="Y21" s="35"/>
      <c r="Z21" s="35"/>
      <c r="AA21" s="35"/>
      <c r="AB21" s="35" t="s">
        <v>5</v>
      </c>
      <c r="AC21" s="35"/>
      <c r="AD21" s="35"/>
      <c r="AE21" s="35"/>
      <c r="AF21" s="149"/>
      <c r="AG21" s="16">
        <f t="shared" si="0"/>
        <v>1</v>
      </c>
      <c r="AH21" s="9">
        <f t="shared" si="1"/>
        <v>1</v>
      </c>
      <c r="AI21" s="122">
        <v>0</v>
      </c>
      <c r="AJ21" s="115">
        <f>'2026.4.'!AL21</f>
        <v>46133</v>
      </c>
      <c r="AK21" s="8">
        <f t="shared" si="2"/>
        <v>46163</v>
      </c>
      <c r="AL21" s="8">
        <f t="shared" si="3"/>
        <v>46203</v>
      </c>
    </row>
    <row r="22" spans="1:39" x14ac:dyDescent="0.3">
      <c r="A22" s="10">
        <v>117</v>
      </c>
      <c r="B22" s="137" t="s">
        <v>5</v>
      </c>
      <c r="C22" s="35"/>
      <c r="D22" s="35"/>
      <c r="E22" s="148"/>
      <c r="F22" s="148"/>
      <c r="G22" s="148"/>
      <c r="H22" s="148" t="s">
        <v>13</v>
      </c>
      <c r="I22" s="161" t="s">
        <v>5</v>
      </c>
      <c r="J22" s="148"/>
      <c r="K22" s="148"/>
      <c r="L22" s="148"/>
      <c r="M22" s="148"/>
      <c r="N22" s="148"/>
      <c r="O22" s="148"/>
      <c r="P22" s="161" t="s">
        <v>5</v>
      </c>
      <c r="Q22" s="148"/>
      <c r="R22" s="148"/>
      <c r="S22" s="148"/>
      <c r="T22" s="148"/>
      <c r="U22" s="148"/>
      <c r="V22" s="148"/>
      <c r="W22" s="161" t="s">
        <v>5</v>
      </c>
      <c r="X22" s="148"/>
      <c r="Y22" s="148"/>
      <c r="Z22" s="148"/>
      <c r="AA22" s="138"/>
      <c r="AB22" s="301" t="s">
        <v>197</v>
      </c>
      <c r="AC22" s="301"/>
      <c r="AD22" s="301"/>
      <c r="AE22" s="301"/>
      <c r="AF22" s="302"/>
      <c r="AG22" s="16">
        <f t="shared" si="0"/>
        <v>1</v>
      </c>
      <c r="AH22" s="9">
        <f t="shared" si="1"/>
        <v>4</v>
      </c>
      <c r="AI22" s="122">
        <v>0</v>
      </c>
      <c r="AJ22" s="115">
        <f>'2026.4.'!AL22</f>
        <v>46158</v>
      </c>
      <c r="AK22" s="8">
        <f t="shared" si="2"/>
        <v>46149</v>
      </c>
      <c r="AL22" s="8">
        <f t="shared" si="3"/>
        <v>46189</v>
      </c>
      <c r="AM22" s="81"/>
    </row>
    <row r="23" spans="1:39" x14ac:dyDescent="0.3">
      <c r="A23" s="10">
        <v>118</v>
      </c>
      <c r="B23" s="120"/>
      <c r="C23" s="161" t="s">
        <v>5</v>
      </c>
      <c r="D23" s="148"/>
      <c r="E23" s="148"/>
      <c r="F23" s="148"/>
      <c r="G23" s="148"/>
      <c r="H23" s="148"/>
      <c r="I23" s="148"/>
      <c r="J23" s="161" t="s">
        <v>5</v>
      </c>
      <c r="K23" s="148"/>
      <c r="L23" s="148"/>
      <c r="M23" s="148"/>
      <c r="N23" s="148"/>
      <c r="O23" s="148"/>
      <c r="P23" s="148" t="s">
        <v>13</v>
      </c>
      <c r="Q23" s="161" t="s">
        <v>5</v>
      </c>
      <c r="R23" s="148"/>
      <c r="S23" s="148"/>
      <c r="T23" s="148"/>
      <c r="U23" s="148"/>
      <c r="V23" s="148"/>
      <c r="W23" s="148"/>
      <c r="X23" s="161" t="s">
        <v>5</v>
      </c>
      <c r="Y23" s="148"/>
      <c r="Z23" s="148"/>
      <c r="AA23" s="148"/>
      <c r="AB23" s="148"/>
      <c r="AC23" s="148"/>
      <c r="AD23" s="148"/>
      <c r="AE23" s="161" t="s">
        <v>5</v>
      </c>
      <c r="AF23" s="149"/>
      <c r="AG23" s="16">
        <f t="shared" si="0"/>
        <v>1</v>
      </c>
      <c r="AH23" s="9">
        <f t="shared" si="1"/>
        <v>5</v>
      </c>
      <c r="AI23" s="122">
        <v>0</v>
      </c>
      <c r="AJ23" s="115">
        <f>'2026.4.'!AL23</f>
        <v>46166</v>
      </c>
      <c r="AK23" s="8">
        <f t="shared" si="2"/>
        <v>46157</v>
      </c>
      <c r="AL23" s="8">
        <f t="shared" si="3"/>
        <v>46197</v>
      </c>
      <c r="AM23" s="80"/>
    </row>
    <row r="24" spans="1:39" x14ac:dyDescent="0.3">
      <c r="A24" s="10">
        <v>119</v>
      </c>
      <c r="B24" s="120"/>
      <c r="C24" s="148"/>
      <c r="D24" s="148"/>
      <c r="E24" s="148"/>
      <c r="F24" s="161" t="s">
        <v>5</v>
      </c>
      <c r="G24" s="148"/>
      <c r="H24" s="148"/>
      <c r="I24" s="148" t="s">
        <v>13</v>
      </c>
      <c r="J24" s="148"/>
      <c r="K24" s="148"/>
      <c r="L24" s="148"/>
      <c r="M24" s="161" t="s">
        <v>5</v>
      </c>
      <c r="N24" s="148"/>
      <c r="O24" s="148"/>
      <c r="P24" s="148"/>
      <c r="Q24" s="148"/>
      <c r="R24" s="148"/>
      <c r="S24" s="148"/>
      <c r="T24" s="161" t="s">
        <v>5</v>
      </c>
      <c r="U24" s="148"/>
      <c r="V24" s="148"/>
      <c r="W24" s="148"/>
      <c r="X24" s="148"/>
      <c r="Y24" s="148"/>
      <c r="Z24" s="35"/>
      <c r="AA24" s="35" t="s">
        <v>5</v>
      </c>
      <c r="AB24" s="35"/>
      <c r="AC24" s="35"/>
      <c r="AD24" s="35"/>
      <c r="AE24" s="35"/>
      <c r="AF24" s="149"/>
      <c r="AG24" s="16">
        <f t="shared" si="0"/>
        <v>1</v>
      </c>
      <c r="AH24" s="9">
        <f t="shared" si="1"/>
        <v>4</v>
      </c>
      <c r="AI24" s="122">
        <v>0</v>
      </c>
      <c r="AJ24" s="115">
        <f>'2026.4.'!AL24</f>
        <v>46153</v>
      </c>
      <c r="AK24" s="8">
        <f t="shared" si="2"/>
        <v>46150</v>
      </c>
      <c r="AL24" s="8">
        <f t="shared" si="3"/>
        <v>46190</v>
      </c>
      <c r="AM24" s="80"/>
    </row>
    <row r="25" spans="1:39" x14ac:dyDescent="0.3">
      <c r="A25" s="10">
        <v>120</v>
      </c>
      <c r="B25" s="120"/>
      <c r="C25" s="148"/>
      <c r="D25" s="148"/>
      <c r="E25" s="148"/>
      <c r="F25" s="148"/>
      <c r="G25" s="253" t="s">
        <v>121</v>
      </c>
      <c r="H25" s="254"/>
      <c r="I25" s="254"/>
      <c r="J25" s="254"/>
      <c r="K25" s="254"/>
      <c r="L25" s="249"/>
      <c r="M25" s="148" t="s">
        <v>13</v>
      </c>
      <c r="N25" s="148"/>
      <c r="O25" s="148"/>
      <c r="P25" s="148"/>
      <c r="Q25" s="148"/>
      <c r="R25" s="148"/>
      <c r="S25" s="148"/>
      <c r="T25" s="161" t="s">
        <v>5</v>
      </c>
      <c r="U25" s="148"/>
      <c r="V25" s="148"/>
      <c r="W25" s="148"/>
      <c r="X25" s="148"/>
      <c r="Y25" s="148"/>
      <c r="Z25" s="148"/>
      <c r="AA25" s="161" t="s">
        <v>5</v>
      </c>
      <c r="AB25" s="148"/>
      <c r="AC25" s="148"/>
      <c r="AD25" s="148"/>
      <c r="AE25" s="148"/>
      <c r="AF25" s="149"/>
      <c r="AG25" s="16">
        <f t="shared" si="0"/>
        <v>1</v>
      </c>
      <c r="AH25" s="9">
        <f t="shared" si="1"/>
        <v>2</v>
      </c>
      <c r="AI25" s="122">
        <v>0</v>
      </c>
      <c r="AJ25" s="115">
        <f>'2026.4.'!AL25</f>
        <v>46169</v>
      </c>
      <c r="AK25" s="8">
        <f t="shared" si="2"/>
        <v>46154</v>
      </c>
      <c r="AL25" s="8">
        <f t="shared" si="3"/>
        <v>46194</v>
      </c>
      <c r="AM25" s="81"/>
    </row>
    <row r="26" spans="1:39" x14ac:dyDescent="0.3">
      <c r="A26" s="10">
        <v>121</v>
      </c>
      <c r="B26" s="120" t="s">
        <v>5</v>
      </c>
      <c r="C26" s="148"/>
      <c r="D26" s="35"/>
      <c r="E26" s="35"/>
      <c r="F26" s="35"/>
      <c r="G26" s="35"/>
      <c r="H26" s="148"/>
      <c r="I26" s="161" t="s">
        <v>5</v>
      </c>
      <c r="J26" s="148"/>
      <c r="K26" s="148"/>
      <c r="L26" s="35"/>
      <c r="M26" s="35"/>
      <c r="N26" s="35"/>
      <c r="O26" s="35"/>
      <c r="P26" s="161" t="s">
        <v>5</v>
      </c>
      <c r="Q26" s="148"/>
      <c r="R26" s="148"/>
      <c r="S26" s="148"/>
      <c r="T26" s="148"/>
      <c r="U26" s="148" t="s">
        <v>13</v>
      </c>
      <c r="V26" s="148"/>
      <c r="W26" s="148"/>
      <c r="X26" s="161" t="s">
        <v>5</v>
      </c>
      <c r="Y26" s="148"/>
      <c r="Z26" s="148"/>
      <c r="AA26" s="148"/>
      <c r="AB26" s="148"/>
      <c r="AC26" s="148"/>
      <c r="AD26" s="148"/>
      <c r="AE26" s="161" t="s">
        <v>5</v>
      </c>
      <c r="AF26" s="149"/>
      <c r="AG26" s="16">
        <f t="shared" si="0"/>
        <v>1</v>
      </c>
      <c r="AH26" s="9">
        <f t="shared" si="1"/>
        <v>5</v>
      </c>
      <c r="AI26" s="122">
        <v>0</v>
      </c>
      <c r="AJ26" s="115">
        <f>'2026.4.'!AL26</f>
        <v>46165</v>
      </c>
      <c r="AK26" s="8">
        <f t="shared" si="2"/>
        <v>46162</v>
      </c>
      <c r="AL26" s="8">
        <f t="shared" si="3"/>
        <v>46202</v>
      </c>
    </row>
    <row r="27" spans="1:39" x14ac:dyDescent="0.3">
      <c r="A27" s="10">
        <v>122</v>
      </c>
      <c r="B27" s="120"/>
      <c r="C27" s="148"/>
      <c r="D27" s="148"/>
      <c r="E27" s="148"/>
      <c r="F27" s="161" t="s">
        <v>5</v>
      </c>
      <c r="G27" s="148"/>
      <c r="H27" s="148"/>
      <c r="I27" s="148"/>
      <c r="J27" s="148"/>
      <c r="K27" s="148"/>
      <c r="L27" s="148"/>
      <c r="M27" s="161" t="s">
        <v>5</v>
      </c>
      <c r="N27" s="148"/>
      <c r="O27" s="148"/>
      <c r="P27" s="148"/>
      <c r="Q27" s="35"/>
      <c r="R27" s="35"/>
      <c r="S27" s="35"/>
      <c r="T27" s="35"/>
      <c r="U27" s="35" t="s">
        <v>5</v>
      </c>
      <c r="V27" s="35"/>
      <c r="W27" s="148"/>
      <c r="X27" s="148"/>
      <c r="Y27" s="148"/>
      <c r="Z27" s="148"/>
      <c r="AA27" s="161" t="s">
        <v>5</v>
      </c>
      <c r="AB27" s="148"/>
      <c r="AC27" s="148"/>
      <c r="AD27" s="148"/>
      <c r="AE27" s="148"/>
      <c r="AF27" s="149"/>
      <c r="AG27" s="16">
        <f t="shared" si="0"/>
        <v>0</v>
      </c>
      <c r="AH27" s="9">
        <f t="shared" si="1"/>
        <v>4</v>
      </c>
      <c r="AI27" s="122">
        <v>0</v>
      </c>
      <c r="AJ27" s="115">
        <f>'2026.4.'!AL27</f>
        <v>46174</v>
      </c>
      <c r="AK27" s="8" t="str">
        <f t="shared" si="2"/>
        <v/>
      </c>
      <c r="AL27" s="8">
        <f>AJ27</f>
        <v>46174</v>
      </c>
    </row>
    <row r="28" spans="1:39" x14ac:dyDescent="0.3">
      <c r="A28" s="10">
        <v>123</v>
      </c>
      <c r="B28" s="120"/>
      <c r="C28" s="148"/>
      <c r="D28" s="161" t="s">
        <v>5</v>
      </c>
      <c r="E28" s="148"/>
      <c r="F28" s="148"/>
      <c r="G28" s="148"/>
      <c r="H28" s="148"/>
      <c r="I28" s="148"/>
      <c r="J28" s="148"/>
      <c r="K28" s="161" t="s">
        <v>5</v>
      </c>
      <c r="L28" s="148"/>
      <c r="M28" s="148"/>
      <c r="N28" s="148" t="s">
        <v>13</v>
      </c>
      <c r="O28" s="148"/>
      <c r="P28" s="148"/>
      <c r="Q28" s="148"/>
      <c r="R28" s="161" t="s">
        <v>5</v>
      </c>
      <c r="S28" s="148"/>
      <c r="T28" s="148"/>
      <c r="U28" s="148"/>
      <c r="V28" s="148"/>
      <c r="W28" s="148"/>
      <c r="X28" s="148"/>
      <c r="Y28" s="161"/>
      <c r="Z28" s="170" t="s">
        <v>5</v>
      </c>
      <c r="AA28" s="148"/>
      <c r="AB28" s="148"/>
      <c r="AC28" s="148"/>
      <c r="AD28" s="148"/>
      <c r="AE28" s="148"/>
      <c r="AF28" s="149"/>
      <c r="AG28" s="16">
        <f t="shared" si="0"/>
        <v>1</v>
      </c>
      <c r="AH28" s="9">
        <f t="shared" si="1"/>
        <v>4</v>
      </c>
      <c r="AI28" s="122">
        <v>0</v>
      </c>
      <c r="AJ28" s="115">
        <f>'2026.4.'!AL28</f>
        <v>46161</v>
      </c>
      <c r="AK28" s="8">
        <f t="shared" si="2"/>
        <v>46155</v>
      </c>
      <c r="AL28" s="8">
        <f t="shared" si="3"/>
        <v>46195</v>
      </c>
    </row>
    <row r="29" spans="1:39" x14ac:dyDescent="0.3">
      <c r="A29" s="10" t="s">
        <v>10</v>
      </c>
      <c r="B29" s="123">
        <f>COUNTIF(B6:B28,"7D")</f>
        <v>3</v>
      </c>
      <c r="C29" s="141">
        <f t="shared" ref="C29:AF29" si="4">COUNTIF(C6:C28,"7D")</f>
        <v>3</v>
      </c>
      <c r="D29" s="141">
        <f t="shared" si="4"/>
        <v>3</v>
      </c>
      <c r="E29" s="141">
        <f t="shared" si="4"/>
        <v>3</v>
      </c>
      <c r="F29" s="141">
        <f t="shared" si="4"/>
        <v>3</v>
      </c>
      <c r="G29" s="141">
        <f t="shared" si="4"/>
        <v>2</v>
      </c>
      <c r="H29" s="141">
        <f t="shared" si="4"/>
        <v>3</v>
      </c>
      <c r="I29" s="141">
        <f t="shared" si="4"/>
        <v>3</v>
      </c>
      <c r="J29" s="141">
        <f t="shared" si="4"/>
        <v>3</v>
      </c>
      <c r="K29" s="141">
        <f t="shared" si="4"/>
        <v>3</v>
      </c>
      <c r="L29" s="141">
        <f t="shared" si="4"/>
        <v>3</v>
      </c>
      <c r="M29" s="141">
        <f t="shared" si="4"/>
        <v>3</v>
      </c>
      <c r="N29" s="141">
        <f t="shared" si="4"/>
        <v>2</v>
      </c>
      <c r="O29" s="141">
        <f t="shared" si="4"/>
        <v>3</v>
      </c>
      <c r="P29" s="141">
        <f t="shared" si="4"/>
        <v>3</v>
      </c>
      <c r="Q29" s="141">
        <f t="shared" si="4"/>
        <v>3</v>
      </c>
      <c r="R29" s="141">
        <f t="shared" si="4"/>
        <v>3</v>
      </c>
      <c r="S29" s="141">
        <f t="shared" si="4"/>
        <v>3</v>
      </c>
      <c r="T29" s="141">
        <f t="shared" si="4"/>
        <v>3</v>
      </c>
      <c r="U29" s="141">
        <f t="shared" si="4"/>
        <v>3</v>
      </c>
      <c r="V29" s="141">
        <f t="shared" si="4"/>
        <v>3</v>
      </c>
      <c r="W29" s="141">
        <f t="shared" si="4"/>
        <v>3</v>
      </c>
      <c r="X29" s="141">
        <f t="shared" si="4"/>
        <v>3</v>
      </c>
      <c r="Y29" s="141">
        <f t="shared" si="4"/>
        <v>3</v>
      </c>
      <c r="Z29" s="141">
        <f t="shared" si="4"/>
        <v>3</v>
      </c>
      <c r="AA29" s="141">
        <f t="shared" si="4"/>
        <v>3</v>
      </c>
      <c r="AB29" s="141">
        <f t="shared" si="4"/>
        <v>3</v>
      </c>
      <c r="AC29" s="141">
        <f t="shared" si="4"/>
        <v>3</v>
      </c>
      <c r="AD29" s="141">
        <f t="shared" si="4"/>
        <v>2</v>
      </c>
      <c r="AE29" s="141">
        <f t="shared" si="4"/>
        <v>3</v>
      </c>
      <c r="AF29" s="147">
        <f t="shared" si="4"/>
        <v>3</v>
      </c>
      <c r="AG29" s="16"/>
      <c r="AH29" s="13">
        <f>SUM(B29:AF29)</f>
        <v>90</v>
      </c>
      <c r="AI29" s="147"/>
      <c r="AJ29" s="2"/>
      <c r="AK29" s="14"/>
      <c r="AL29" s="1"/>
    </row>
    <row r="30" spans="1:39" x14ac:dyDescent="0.3">
      <c r="A30" s="10" t="s">
        <v>6</v>
      </c>
      <c r="B30" s="123">
        <v>0</v>
      </c>
      <c r="C30" s="141">
        <v>0</v>
      </c>
      <c r="D30" s="148">
        <v>0</v>
      </c>
      <c r="E30" s="148">
        <v>1</v>
      </c>
      <c r="F30" s="148">
        <v>0</v>
      </c>
      <c r="G30" s="141">
        <v>1</v>
      </c>
      <c r="H30" s="141">
        <v>1</v>
      </c>
      <c r="I30" s="141">
        <v>1</v>
      </c>
      <c r="J30" s="141">
        <v>0</v>
      </c>
      <c r="K30" s="141">
        <v>0</v>
      </c>
      <c r="L30" s="141">
        <v>1</v>
      </c>
      <c r="M30" s="141">
        <v>1</v>
      </c>
      <c r="N30" s="141">
        <v>1</v>
      </c>
      <c r="O30" s="141">
        <v>1</v>
      </c>
      <c r="P30" s="141">
        <v>1</v>
      </c>
      <c r="Q30" s="141">
        <v>0</v>
      </c>
      <c r="R30" s="141">
        <v>0</v>
      </c>
      <c r="S30" s="141">
        <v>0</v>
      </c>
      <c r="T30" s="141">
        <v>1</v>
      </c>
      <c r="U30" s="141">
        <v>1</v>
      </c>
      <c r="V30" s="141">
        <v>1</v>
      </c>
      <c r="W30" s="141">
        <v>0</v>
      </c>
      <c r="X30" s="141">
        <v>0</v>
      </c>
      <c r="Y30" s="141">
        <v>0</v>
      </c>
      <c r="Z30" s="141">
        <v>0</v>
      </c>
      <c r="AA30" s="141">
        <v>1</v>
      </c>
      <c r="AB30" s="141">
        <v>1</v>
      </c>
      <c r="AC30" s="141">
        <v>1</v>
      </c>
      <c r="AD30" s="141">
        <v>1</v>
      </c>
      <c r="AE30" s="141">
        <v>0</v>
      </c>
      <c r="AF30" s="147">
        <v>0</v>
      </c>
      <c r="AG30" s="16"/>
      <c r="AH30" s="141"/>
      <c r="AI30" s="147">
        <f>SUM(B30:AF30)</f>
        <v>16</v>
      </c>
      <c r="AJ30" s="2"/>
      <c r="AK30" s="1"/>
      <c r="AL30" s="1"/>
    </row>
    <row r="31" spans="1:39" ht="17.25" thickBot="1" x14ac:dyDescent="0.35">
      <c r="A31" s="10" t="s">
        <v>12</v>
      </c>
      <c r="B31" s="125">
        <f>COUNTIF(B6:B28,"청")</f>
        <v>0</v>
      </c>
      <c r="C31" s="145">
        <f t="shared" ref="C31:AF31" si="5">COUNTIF(C6:C28,"청")</f>
        <v>0</v>
      </c>
      <c r="D31" s="127">
        <f t="shared" si="5"/>
        <v>0</v>
      </c>
      <c r="E31" s="127">
        <f t="shared" si="5"/>
        <v>1</v>
      </c>
      <c r="F31" s="127">
        <f t="shared" si="5"/>
        <v>0</v>
      </c>
      <c r="G31" s="145">
        <f t="shared" si="5"/>
        <v>1</v>
      </c>
      <c r="H31" s="145">
        <f t="shared" si="5"/>
        <v>1</v>
      </c>
      <c r="I31" s="145">
        <f t="shared" si="5"/>
        <v>1</v>
      </c>
      <c r="J31" s="145">
        <f t="shared" si="5"/>
        <v>0</v>
      </c>
      <c r="K31" s="145">
        <f t="shared" si="5"/>
        <v>0</v>
      </c>
      <c r="L31" s="145">
        <f t="shared" si="5"/>
        <v>1</v>
      </c>
      <c r="M31" s="145">
        <f t="shared" si="5"/>
        <v>1</v>
      </c>
      <c r="N31" s="145">
        <f t="shared" si="5"/>
        <v>1</v>
      </c>
      <c r="O31" s="145">
        <f t="shared" si="5"/>
        <v>1</v>
      </c>
      <c r="P31" s="145">
        <f t="shared" si="5"/>
        <v>1</v>
      </c>
      <c r="Q31" s="145">
        <f t="shared" si="5"/>
        <v>0</v>
      </c>
      <c r="R31" s="145">
        <f t="shared" si="5"/>
        <v>0</v>
      </c>
      <c r="S31" s="145">
        <f t="shared" si="5"/>
        <v>0</v>
      </c>
      <c r="T31" s="145">
        <f t="shared" si="5"/>
        <v>1</v>
      </c>
      <c r="U31" s="145">
        <f t="shared" si="5"/>
        <v>1</v>
      </c>
      <c r="V31" s="145">
        <f t="shared" si="5"/>
        <v>1</v>
      </c>
      <c r="W31" s="127">
        <f t="shared" si="5"/>
        <v>0</v>
      </c>
      <c r="X31" s="127">
        <f t="shared" si="5"/>
        <v>0</v>
      </c>
      <c r="Y31" s="127">
        <f t="shared" si="5"/>
        <v>0</v>
      </c>
      <c r="Z31" s="145">
        <f t="shared" si="5"/>
        <v>0</v>
      </c>
      <c r="AA31" s="145">
        <f t="shared" si="5"/>
        <v>1</v>
      </c>
      <c r="AB31" s="145">
        <f t="shared" si="5"/>
        <v>1</v>
      </c>
      <c r="AC31" s="145">
        <f t="shared" si="5"/>
        <v>1</v>
      </c>
      <c r="AD31" s="145">
        <f t="shared" si="5"/>
        <v>1</v>
      </c>
      <c r="AE31" s="145">
        <f t="shared" si="5"/>
        <v>0</v>
      </c>
      <c r="AF31" s="146">
        <f t="shared" si="5"/>
        <v>0</v>
      </c>
      <c r="AG31" s="128"/>
      <c r="AH31" s="278">
        <f>SUM(B31:AF31)</f>
        <v>16</v>
      </c>
      <c r="AI31" s="279"/>
      <c r="AJ31" s="2"/>
      <c r="AK31" s="1"/>
      <c r="AL31" s="1"/>
    </row>
    <row r="32" spans="1:39" x14ac:dyDescent="0.3">
      <c r="A32" s="17"/>
      <c r="B32" s="17"/>
      <c r="C32" s="85"/>
      <c r="D32" s="105"/>
      <c r="E32" s="86"/>
      <c r="F32" s="106"/>
      <c r="G32" s="34"/>
      <c r="H32" s="34"/>
      <c r="I32" s="34"/>
      <c r="J32" s="34"/>
      <c r="K32" s="87"/>
      <c r="AA32" s="34"/>
      <c r="AB32" s="82"/>
    </row>
    <row r="34" spans="1:24" x14ac:dyDescent="0.3">
      <c r="A34" s="17"/>
      <c r="B34" s="293" t="s">
        <v>58</v>
      </c>
      <c r="C34" s="293"/>
      <c r="D34" s="293"/>
      <c r="E34" s="294">
        <v>46143</v>
      </c>
      <c r="F34" s="294"/>
      <c r="G34" s="294"/>
      <c r="H34" s="295">
        <v>46143</v>
      </c>
      <c r="I34" s="295"/>
      <c r="J34" s="295"/>
    </row>
    <row r="35" spans="1:24" x14ac:dyDescent="0.3">
      <c r="A35" s="17"/>
      <c r="B35" s="293" t="s">
        <v>59</v>
      </c>
      <c r="C35" s="293"/>
      <c r="D35" s="293"/>
      <c r="E35" s="294">
        <v>46147</v>
      </c>
      <c r="F35" s="294"/>
      <c r="G35" s="294"/>
      <c r="H35" s="295">
        <v>46147</v>
      </c>
      <c r="I35" s="295"/>
      <c r="J35" s="295"/>
      <c r="X35" t="s">
        <v>185</v>
      </c>
    </row>
    <row r="36" spans="1:24" ht="26.25" x14ac:dyDescent="0.3">
      <c r="A36" s="17"/>
      <c r="B36" s="293" t="s">
        <v>62</v>
      </c>
      <c r="C36" s="293"/>
      <c r="D36" s="293"/>
      <c r="E36" s="294">
        <v>46160</v>
      </c>
      <c r="F36" s="294"/>
      <c r="G36" s="294"/>
      <c r="H36" s="295">
        <v>46160</v>
      </c>
      <c r="I36" s="295"/>
      <c r="J36" s="295"/>
      <c r="X36" s="217" t="s">
        <v>192</v>
      </c>
    </row>
    <row r="37" spans="1:24" x14ac:dyDescent="0.3">
      <c r="B37" s="293" t="s">
        <v>61</v>
      </c>
      <c r="C37" s="293"/>
      <c r="D37" s="293"/>
      <c r="E37" s="294">
        <v>46166</v>
      </c>
      <c r="F37" s="294"/>
      <c r="G37" s="294"/>
      <c r="H37" s="295">
        <v>46166</v>
      </c>
      <c r="I37" s="295"/>
      <c r="J37" s="295"/>
      <c r="M37" s="17"/>
      <c r="N37" s="135"/>
      <c r="O37" s="136"/>
    </row>
    <row r="38" spans="1:24" x14ac:dyDescent="0.3">
      <c r="B38" s="293" t="s">
        <v>141</v>
      </c>
      <c r="C38" s="293"/>
      <c r="D38" s="293"/>
      <c r="E38" s="294">
        <v>46167</v>
      </c>
      <c r="F38" s="294"/>
      <c r="G38" s="294"/>
      <c r="H38" s="295">
        <v>46167</v>
      </c>
      <c r="I38" s="295"/>
      <c r="J38" s="295"/>
      <c r="M38" s="17"/>
      <c r="N38" s="135"/>
      <c r="O38" s="136"/>
      <c r="X38" t="s">
        <v>184</v>
      </c>
    </row>
    <row r="39" spans="1:24" ht="26.25" x14ac:dyDescent="0.3">
      <c r="B39" s="293" t="s">
        <v>63</v>
      </c>
      <c r="C39" s="293"/>
      <c r="D39" s="293"/>
      <c r="E39" s="294">
        <v>46164</v>
      </c>
      <c r="F39" s="294"/>
      <c r="G39" s="294"/>
      <c r="H39" s="295">
        <v>46171</v>
      </c>
      <c r="I39" s="295"/>
      <c r="J39" s="295"/>
      <c r="X39" s="84" t="s">
        <v>191</v>
      </c>
    </row>
  </sheetData>
  <mergeCells count="61">
    <mergeCell ref="B21:U21"/>
    <mergeCell ref="B10:E10"/>
    <mergeCell ref="G25:L25"/>
    <mergeCell ref="M16:P16"/>
    <mergeCell ref="T13:AA13"/>
    <mergeCell ref="AB19:AF19"/>
    <mergeCell ref="AB22:AF22"/>
    <mergeCell ref="N3:N4"/>
    <mergeCell ref="A1:AI1"/>
    <mergeCell ref="A2:AI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Z3:Z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AG3:AI4"/>
    <mergeCell ref="AA3:AA4"/>
    <mergeCell ref="AB3:AB4"/>
    <mergeCell ref="AC3:AC4"/>
    <mergeCell ref="AD3:AD4"/>
    <mergeCell ref="AE3:AE4"/>
    <mergeCell ref="AF3:AF4"/>
    <mergeCell ref="AH31:AI31"/>
    <mergeCell ref="B37:D37"/>
    <mergeCell ref="E37:G37"/>
    <mergeCell ref="H37:J37"/>
    <mergeCell ref="B34:D34"/>
    <mergeCell ref="E34:G34"/>
    <mergeCell ref="H34:J34"/>
    <mergeCell ref="B35:D35"/>
    <mergeCell ref="B36:D36"/>
    <mergeCell ref="E35:G35"/>
    <mergeCell ref="E36:G36"/>
    <mergeCell ref="H35:J35"/>
    <mergeCell ref="H36:J36"/>
    <mergeCell ref="B38:D38"/>
    <mergeCell ref="E38:G38"/>
    <mergeCell ref="H38:J38"/>
    <mergeCell ref="B39:D39"/>
    <mergeCell ref="E39:G39"/>
    <mergeCell ref="H39:J39"/>
  </mergeCells>
  <phoneticPr fontId="3" type="noConversion"/>
  <conditionalFormatting sqref="B3:AF9 F10:AF10 B11:AF12 B13:T13 AB13:AF13 B14:AF15 B16:M16 Q16:AF16 B17:AF18 B19:AA19 B20:AF20 V21:AF21 B22:AA22 B23:AF24 B25:G25 M25:AF25 B26:AF31">
    <cfRule type="expression" dxfId="7" priority="1">
      <formula>OR(WEEKDAY(B$3,1)=7,WEEKDAY(B$3,1)=1,B$3=$E$34:$G$39)</formula>
    </cfRule>
  </conditionalFormatting>
  <pageMargins left="0.25" right="0.25" top="0.75" bottom="0.75" header="0.3" footer="0.3"/>
  <pageSetup paperSize="9" scale="6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33FA-1D52-4548-9E5D-DC06E51C3724}">
  <sheetPr>
    <pageSetUpPr fitToPage="1"/>
  </sheetPr>
  <dimension ref="A1:AM39"/>
  <sheetViews>
    <sheetView workbookViewId="0">
      <pane ySplit="5" topLeftCell="A13" activePane="bottomLeft" state="frozen"/>
      <selection pane="bottomLeft" activeCell="AO22" sqref="AO22"/>
    </sheetView>
  </sheetViews>
  <sheetFormatPr defaultRowHeight="16.5" x14ac:dyDescent="0.3"/>
  <cols>
    <col min="1" max="1" width="9.125" bestFit="1" customWidth="1"/>
    <col min="2" max="31" width="3.75" customWidth="1"/>
    <col min="32" max="32" width="3.25" hidden="1" customWidth="1"/>
    <col min="33" max="35" width="3.75" customWidth="1"/>
    <col min="36" max="36" width="12.5" hidden="1" customWidth="1"/>
    <col min="37" max="38" width="11.25" hidden="1" customWidth="1"/>
    <col min="39" max="39" width="10.375" bestFit="1" customWidth="1"/>
  </cols>
  <sheetData>
    <row r="1" spans="1:39" x14ac:dyDescent="0.3">
      <c r="A1" s="264" t="s">
        <v>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143"/>
      <c r="AK1" s="1"/>
      <c r="AL1" s="1"/>
    </row>
    <row r="2" spans="1:39" ht="17.25" thickBot="1" x14ac:dyDescent="0.35">
      <c r="A2" s="266" t="s">
        <v>160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144"/>
      <c r="AK2" s="1"/>
      <c r="AL2" s="1"/>
    </row>
    <row r="3" spans="1:39" x14ac:dyDescent="0.3">
      <c r="A3" s="268" t="s">
        <v>1</v>
      </c>
      <c r="B3" s="273">
        <v>46174</v>
      </c>
      <c r="C3" s="272">
        <v>46175</v>
      </c>
      <c r="D3" s="272">
        <v>46176</v>
      </c>
      <c r="E3" s="272">
        <v>46177</v>
      </c>
      <c r="F3" s="272">
        <v>46178</v>
      </c>
      <c r="G3" s="272">
        <v>46179</v>
      </c>
      <c r="H3" s="272">
        <v>46180</v>
      </c>
      <c r="I3" s="272">
        <v>46181</v>
      </c>
      <c r="J3" s="272">
        <v>46182</v>
      </c>
      <c r="K3" s="272">
        <v>46183</v>
      </c>
      <c r="L3" s="272">
        <v>46184</v>
      </c>
      <c r="M3" s="272">
        <v>46185</v>
      </c>
      <c r="N3" s="272">
        <v>46186</v>
      </c>
      <c r="O3" s="272">
        <v>46187</v>
      </c>
      <c r="P3" s="272">
        <v>46188</v>
      </c>
      <c r="Q3" s="272">
        <v>46189</v>
      </c>
      <c r="R3" s="272">
        <v>46190</v>
      </c>
      <c r="S3" s="272">
        <v>46191</v>
      </c>
      <c r="T3" s="272">
        <v>46192</v>
      </c>
      <c r="U3" s="272">
        <v>46193</v>
      </c>
      <c r="V3" s="272">
        <v>46194</v>
      </c>
      <c r="W3" s="272">
        <v>46195</v>
      </c>
      <c r="X3" s="272">
        <v>46196</v>
      </c>
      <c r="Y3" s="272">
        <v>46197</v>
      </c>
      <c r="Z3" s="272">
        <v>46198</v>
      </c>
      <c r="AA3" s="272">
        <v>46199</v>
      </c>
      <c r="AB3" s="272">
        <v>46200</v>
      </c>
      <c r="AC3" s="272">
        <v>46201</v>
      </c>
      <c r="AD3" s="272">
        <v>46202</v>
      </c>
      <c r="AE3" s="298">
        <v>46203</v>
      </c>
      <c r="AF3" s="306"/>
      <c r="AG3" s="296" t="s">
        <v>2</v>
      </c>
      <c r="AH3" s="285"/>
      <c r="AI3" s="286"/>
      <c r="AJ3" s="2"/>
      <c r="AK3" s="1"/>
      <c r="AL3" s="1"/>
    </row>
    <row r="4" spans="1:39" x14ac:dyDescent="0.3">
      <c r="A4" s="269"/>
      <c r="B4" s="274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1"/>
      <c r="X4" s="261"/>
      <c r="Y4" s="261"/>
      <c r="Z4" s="261"/>
      <c r="AA4" s="261"/>
      <c r="AB4" s="261"/>
      <c r="AC4" s="261"/>
      <c r="AD4" s="261"/>
      <c r="AE4" s="299"/>
      <c r="AF4" s="307"/>
      <c r="AG4" s="297"/>
      <c r="AH4" s="255"/>
      <c r="AI4" s="287"/>
      <c r="AJ4" s="2"/>
      <c r="AK4" s="1"/>
      <c r="AL4" s="1"/>
    </row>
    <row r="5" spans="1:39" ht="17.25" thickBot="1" x14ac:dyDescent="0.35">
      <c r="A5" s="66" t="s">
        <v>3</v>
      </c>
      <c r="B5" s="116">
        <v>46174</v>
      </c>
      <c r="C5" s="43">
        <v>46175</v>
      </c>
      <c r="D5" s="43">
        <v>46176</v>
      </c>
      <c r="E5" s="43">
        <v>46177</v>
      </c>
      <c r="F5" s="43">
        <v>46178</v>
      </c>
      <c r="G5" s="43">
        <v>46179</v>
      </c>
      <c r="H5" s="43">
        <v>46180</v>
      </c>
      <c r="I5" s="43">
        <v>46181</v>
      </c>
      <c r="J5" s="43">
        <v>46182</v>
      </c>
      <c r="K5" s="43">
        <v>46183</v>
      </c>
      <c r="L5" s="43">
        <v>46184</v>
      </c>
      <c r="M5" s="43">
        <v>46185</v>
      </c>
      <c r="N5" s="43">
        <v>46186</v>
      </c>
      <c r="O5" s="43">
        <v>46187</v>
      </c>
      <c r="P5" s="43">
        <v>46188</v>
      </c>
      <c r="Q5" s="43">
        <v>46189</v>
      </c>
      <c r="R5" s="43">
        <v>46190</v>
      </c>
      <c r="S5" s="43">
        <v>46191</v>
      </c>
      <c r="T5" s="43">
        <v>46192</v>
      </c>
      <c r="U5" s="43">
        <v>46193</v>
      </c>
      <c r="V5" s="43">
        <v>46194</v>
      </c>
      <c r="W5" s="43">
        <v>46195</v>
      </c>
      <c r="X5" s="43">
        <v>46196</v>
      </c>
      <c r="Y5" s="43">
        <v>46197</v>
      </c>
      <c r="Z5" s="43">
        <v>46198</v>
      </c>
      <c r="AA5" s="43">
        <v>46199</v>
      </c>
      <c r="AB5" s="43">
        <v>46200</v>
      </c>
      <c r="AC5" s="43">
        <v>46201</v>
      </c>
      <c r="AD5" s="43">
        <v>46202</v>
      </c>
      <c r="AE5" s="152">
        <v>46203</v>
      </c>
      <c r="AF5" s="46"/>
      <c r="AG5" s="113" t="s">
        <v>4</v>
      </c>
      <c r="AH5" s="5" t="s">
        <v>10</v>
      </c>
      <c r="AI5" s="117" t="s">
        <v>6</v>
      </c>
      <c r="AJ5" s="114" t="s">
        <v>7</v>
      </c>
      <c r="AK5" s="6" t="s">
        <v>8</v>
      </c>
      <c r="AL5" s="6" t="s">
        <v>9</v>
      </c>
    </row>
    <row r="6" spans="1:39" ht="17.25" thickTop="1" x14ac:dyDescent="0.3">
      <c r="A6" s="19">
        <v>101</v>
      </c>
      <c r="B6" s="118"/>
      <c r="C6" s="18"/>
      <c r="D6" s="18"/>
      <c r="E6" s="18" t="s">
        <v>10</v>
      </c>
      <c r="F6" s="18"/>
      <c r="G6" s="18"/>
      <c r="H6" s="18"/>
      <c r="I6" s="18"/>
      <c r="J6" s="42"/>
      <c r="K6" s="42"/>
      <c r="L6" s="42" t="s">
        <v>5</v>
      </c>
      <c r="M6" s="42"/>
      <c r="N6" s="18"/>
      <c r="O6" s="18"/>
      <c r="P6" s="18"/>
      <c r="Q6" s="18"/>
      <c r="R6" s="42" t="s">
        <v>5</v>
      </c>
      <c r="S6" s="42"/>
      <c r="T6" s="42"/>
      <c r="U6" s="42"/>
      <c r="V6" s="18"/>
      <c r="W6" s="18"/>
      <c r="X6" s="18"/>
      <c r="Y6" s="18" t="s">
        <v>5</v>
      </c>
      <c r="Z6" s="18"/>
      <c r="AA6" s="18"/>
      <c r="AB6" s="18"/>
      <c r="AC6" s="18"/>
      <c r="AD6" s="18" t="s">
        <v>13</v>
      </c>
      <c r="AE6" s="151"/>
      <c r="AF6" s="153"/>
      <c r="AG6" s="142">
        <f>COUNTIF(B6:AF6,"청")</f>
        <v>1</v>
      </c>
      <c r="AH6" s="112">
        <f>COUNTIF(B6:AF6,"7D")</f>
        <v>4</v>
      </c>
      <c r="AI6" s="119">
        <v>0</v>
      </c>
      <c r="AJ6" s="115">
        <f>'2026.5.'!AL6</f>
        <v>46208</v>
      </c>
      <c r="AK6" s="8">
        <f>IFERROR(INDEX($B$3:$AF$5,1,MATCH("청",B6:AF6,0)),"")</f>
        <v>46202</v>
      </c>
      <c r="AL6" s="8">
        <f>IFERROR(AK6+40,"")</f>
        <v>46242</v>
      </c>
      <c r="AM6" s="81"/>
    </row>
    <row r="7" spans="1:39" x14ac:dyDescent="0.3">
      <c r="A7" s="10">
        <v>102</v>
      </c>
      <c r="B7" s="120" t="s">
        <v>5</v>
      </c>
      <c r="C7" s="148"/>
      <c r="D7" s="148"/>
      <c r="E7" s="148"/>
      <c r="F7" s="148"/>
      <c r="G7" s="148"/>
      <c r="H7" s="148"/>
      <c r="I7" s="178" t="s">
        <v>5</v>
      </c>
      <c r="J7" s="148"/>
      <c r="K7" s="148" t="s">
        <v>13</v>
      </c>
      <c r="L7" s="148"/>
      <c r="M7" s="148"/>
      <c r="N7" s="148"/>
      <c r="O7" s="178" t="s">
        <v>5</v>
      </c>
      <c r="P7" s="148"/>
      <c r="Q7" s="148"/>
      <c r="R7" s="148"/>
      <c r="S7" s="148"/>
      <c r="T7" s="148"/>
      <c r="U7" s="148"/>
      <c r="V7" s="178" t="s">
        <v>5</v>
      </c>
      <c r="W7" s="35"/>
      <c r="X7" s="35"/>
      <c r="Y7" s="35"/>
      <c r="Z7" s="35"/>
      <c r="AA7" s="35"/>
      <c r="AB7" s="35"/>
      <c r="AC7" s="178" t="s">
        <v>5</v>
      </c>
      <c r="AD7" s="148"/>
      <c r="AE7" s="149"/>
      <c r="AF7" s="154"/>
      <c r="AG7" s="45">
        <f t="shared" ref="AG7:AG28" si="0">COUNTIF(B7:AF7,"청")</f>
        <v>1</v>
      </c>
      <c r="AH7" s="44">
        <f t="shared" ref="AH7:AH28" si="1">COUNTIF(B7:AF7,"7D")</f>
        <v>5</v>
      </c>
      <c r="AI7" s="121">
        <v>0</v>
      </c>
      <c r="AJ7" s="115">
        <f>'2026.5.'!AL7</f>
        <v>46180</v>
      </c>
      <c r="AK7" s="8">
        <f t="shared" ref="AK7:AK28" si="2">IFERROR(INDEX($B$3:$AF$5,1,MATCH("청",B7:AF7,0)),"")</f>
        <v>46183</v>
      </c>
      <c r="AL7" s="8">
        <f t="shared" ref="AL7:AL28" si="3">IFERROR(AK7+40,"")</f>
        <v>46223</v>
      </c>
      <c r="AM7" s="81"/>
    </row>
    <row r="8" spans="1:39" x14ac:dyDescent="0.3">
      <c r="A8" s="10">
        <v>103</v>
      </c>
      <c r="B8" s="120"/>
      <c r="C8" s="35"/>
      <c r="D8" s="35" t="s">
        <v>5</v>
      </c>
      <c r="E8" s="35"/>
      <c r="F8" s="35"/>
      <c r="G8" s="148"/>
      <c r="H8" s="148"/>
      <c r="I8" s="148"/>
      <c r="J8" s="148"/>
      <c r="K8" s="178" t="s">
        <v>5</v>
      </c>
      <c r="L8" s="148"/>
      <c r="M8" s="148"/>
      <c r="N8" s="148"/>
      <c r="O8" s="148"/>
      <c r="P8" s="253" t="s">
        <v>79</v>
      </c>
      <c r="Q8" s="254"/>
      <c r="R8" s="254"/>
      <c r="S8" s="249"/>
      <c r="T8" s="148" t="s">
        <v>13</v>
      </c>
      <c r="U8" s="148"/>
      <c r="V8" s="148"/>
      <c r="W8" s="148"/>
      <c r="X8" s="148"/>
      <c r="Y8" s="148"/>
      <c r="Z8" s="148"/>
      <c r="AA8" s="178" t="s">
        <v>5</v>
      </c>
      <c r="AB8" s="148"/>
      <c r="AC8" s="148"/>
      <c r="AD8" s="148"/>
      <c r="AE8" s="149"/>
      <c r="AF8" s="154"/>
      <c r="AG8" s="16">
        <f t="shared" si="0"/>
        <v>1</v>
      </c>
      <c r="AH8" s="9">
        <f t="shared" si="1"/>
        <v>3</v>
      </c>
      <c r="AI8" s="122">
        <v>0</v>
      </c>
      <c r="AJ8" s="115">
        <f>'2026.5.'!AL8</f>
        <v>46210</v>
      </c>
      <c r="AK8" s="8">
        <f t="shared" si="2"/>
        <v>46192</v>
      </c>
      <c r="AL8" s="8">
        <f t="shared" si="3"/>
        <v>46232</v>
      </c>
      <c r="AM8" s="81"/>
    </row>
    <row r="9" spans="1:39" x14ac:dyDescent="0.3">
      <c r="A9" s="10">
        <v>104</v>
      </c>
      <c r="B9" s="120" t="s">
        <v>13</v>
      </c>
      <c r="C9" s="148"/>
      <c r="D9" s="178" t="s">
        <v>5</v>
      </c>
      <c r="E9" s="148"/>
      <c r="F9" s="148"/>
      <c r="G9" s="148"/>
      <c r="H9" s="148"/>
      <c r="I9" s="148"/>
      <c r="J9" s="148"/>
      <c r="K9" s="178" t="s">
        <v>5</v>
      </c>
      <c r="L9" s="148"/>
      <c r="M9" s="148"/>
      <c r="N9" s="35"/>
      <c r="O9" s="35"/>
      <c r="P9" s="35"/>
      <c r="Q9" s="35"/>
      <c r="R9" s="35" t="s">
        <v>5</v>
      </c>
      <c r="S9" s="35"/>
      <c r="T9" s="148"/>
      <c r="U9" s="148"/>
      <c r="V9" s="148"/>
      <c r="W9" s="148"/>
      <c r="X9" s="148"/>
      <c r="Y9" s="178" t="s">
        <v>5</v>
      </c>
      <c r="Z9" s="148"/>
      <c r="AA9" s="148"/>
      <c r="AB9" s="148"/>
      <c r="AC9" s="148"/>
      <c r="AD9" s="148"/>
      <c r="AE9" s="149"/>
      <c r="AF9" s="154"/>
      <c r="AG9" s="16">
        <f t="shared" si="0"/>
        <v>1</v>
      </c>
      <c r="AH9" s="9">
        <f t="shared" si="1"/>
        <v>4</v>
      </c>
      <c r="AI9" s="122">
        <v>0</v>
      </c>
      <c r="AJ9" s="115">
        <f>'2026.5.'!AL9</f>
        <v>46173</v>
      </c>
      <c r="AK9" s="8">
        <f t="shared" si="2"/>
        <v>46174</v>
      </c>
      <c r="AL9" s="8">
        <f t="shared" si="3"/>
        <v>46214</v>
      </c>
    </row>
    <row r="10" spans="1:39" x14ac:dyDescent="0.3">
      <c r="A10" s="10">
        <v>105</v>
      </c>
      <c r="B10" s="120" t="s">
        <v>10</v>
      </c>
      <c r="C10" s="148"/>
      <c r="D10" s="148"/>
      <c r="E10" s="148"/>
      <c r="F10" s="148"/>
      <c r="G10" s="148"/>
      <c r="H10" s="148"/>
      <c r="I10" s="178" t="s">
        <v>5</v>
      </c>
      <c r="J10" s="148"/>
      <c r="K10" s="148"/>
      <c r="L10" s="148"/>
      <c r="M10" s="148"/>
      <c r="N10" s="148"/>
      <c r="O10" s="148"/>
      <c r="P10" s="178" t="s">
        <v>5</v>
      </c>
      <c r="Q10" s="148" t="s">
        <v>13</v>
      </c>
      <c r="R10" s="148"/>
      <c r="S10" s="148"/>
      <c r="T10" s="148"/>
      <c r="U10" s="148"/>
      <c r="V10" s="148"/>
      <c r="W10" s="178" t="s">
        <v>5</v>
      </c>
      <c r="X10" s="148"/>
      <c r="Y10" s="148"/>
      <c r="Z10" s="148"/>
      <c r="AA10" s="148"/>
      <c r="AB10" s="148"/>
      <c r="AC10" s="35"/>
      <c r="AD10" s="35" t="s">
        <v>5</v>
      </c>
      <c r="AE10" s="150"/>
      <c r="AF10" s="154"/>
      <c r="AG10" s="16">
        <f t="shared" si="0"/>
        <v>1</v>
      </c>
      <c r="AH10" s="9">
        <f t="shared" si="1"/>
        <v>5</v>
      </c>
      <c r="AI10" s="122">
        <v>0</v>
      </c>
      <c r="AJ10" s="115">
        <f>'2026.5.'!AL10</f>
        <v>46188</v>
      </c>
      <c r="AK10" s="8">
        <f t="shared" si="2"/>
        <v>46189</v>
      </c>
      <c r="AL10" s="8">
        <f t="shared" si="3"/>
        <v>46229</v>
      </c>
      <c r="AM10" s="80"/>
    </row>
    <row r="11" spans="1:39" x14ac:dyDescent="0.3">
      <c r="A11" s="10">
        <v>106</v>
      </c>
      <c r="B11" s="137"/>
      <c r="C11" s="35"/>
      <c r="D11" s="35"/>
      <c r="E11" s="35"/>
      <c r="F11" s="35" t="s">
        <v>13</v>
      </c>
      <c r="G11" s="35"/>
      <c r="H11" s="35" t="s">
        <v>5</v>
      </c>
      <c r="I11" s="35"/>
      <c r="J11" s="35"/>
      <c r="K11" s="35"/>
      <c r="L11" s="35"/>
      <c r="M11" s="148"/>
      <c r="N11" s="148"/>
      <c r="O11" s="178" t="s">
        <v>5</v>
      </c>
      <c r="P11" s="148"/>
      <c r="Q11" s="148"/>
      <c r="R11" s="148"/>
      <c r="S11" s="148"/>
      <c r="T11" s="148"/>
      <c r="U11" s="148"/>
      <c r="V11" s="148"/>
      <c r="W11" s="253" t="s">
        <v>112</v>
      </c>
      <c r="X11" s="254"/>
      <c r="Y11" s="254"/>
      <c r="Z11" s="249"/>
      <c r="AA11" s="148" t="s">
        <v>13</v>
      </c>
      <c r="AB11" s="148"/>
      <c r="AC11" s="148"/>
      <c r="AD11" s="148"/>
      <c r="AE11" s="149"/>
      <c r="AF11" s="154"/>
      <c r="AG11" s="175">
        <f t="shared" si="0"/>
        <v>2</v>
      </c>
      <c r="AH11" s="9">
        <f t="shared" si="1"/>
        <v>2</v>
      </c>
      <c r="AI11" s="122">
        <v>0</v>
      </c>
      <c r="AJ11" s="115">
        <f>'2026.5.'!AL11</f>
        <v>46176</v>
      </c>
      <c r="AK11" s="12">
        <v>46199</v>
      </c>
      <c r="AL11" s="8">
        <f t="shared" si="3"/>
        <v>46239</v>
      </c>
    </row>
    <row r="12" spans="1:39" x14ac:dyDescent="0.3">
      <c r="A12" s="10">
        <v>107</v>
      </c>
      <c r="B12" s="120"/>
      <c r="C12" s="148"/>
      <c r="D12" s="148"/>
      <c r="E12" s="148"/>
      <c r="F12" s="148"/>
      <c r="G12" s="148"/>
      <c r="H12" s="178" t="s">
        <v>5</v>
      </c>
      <c r="I12" s="148"/>
      <c r="J12" s="148"/>
      <c r="K12" s="35"/>
      <c r="L12" s="35" t="s">
        <v>13</v>
      </c>
      <c r="M12" s="35"/>
      <c r="N12" s="35"/>
      <c r="O12" s="35" t="s">
        <v>5</v>
      </c>
      <c r="P12" s="35"/>
      <c r="Q12" s="35"/>
      <c r="R12" s="35"/>
      <c r="S12" s="35"/>
      <c r="T12" s="35"/>
      <c r="U12" s="35"/>
      <c r="V12" s="35" t="s">
        <v>5</v>
      </c>
      <c r="W12" s="35"/>
      <c r="X12" s="35"/>
      <c r="Y12" s="35"/>
      <c r="Z12" s="35"/>
      <c r="AA12" s="35"/>
      <c r="AB12" s="35"/>
      <c r="AC12" s="35" t="s">
        <v>5</v>
      </c>
      <c r="AD12" s="148"/>
      <c r="AE12" s="149"/>
      <c r="AF12" s="154"/>
      <c r="AG12" s="16">
        <f t="shared" si="0"/>
        <v>1</v>
      </c>
      <c r="AH12" s="9">
        <f t="shared" si="1"/>
        <v>4</v>
      </c>
      <c r="AI12" s="122">
        <v>0</v>
      </c>
      <c r="AJ12" s="115">
        <f>'2026.5.'!AL12</f>
        <v>46181</v>
      </c>
      <c r="AK12" s="8">
        <f t="shared" si="2"/>
        <v>46184</v>
      </c>
      <c r="AL12" s="8">
        <f t="shared" si="3"/>
        <v>46224</v>
      </c>
      <c r="AM12" s="81"/>
    </row>
    <row r="13" spans="1:39" x14ac:dyDescent="0.3">
      <c r="A13" s="10">
        <v>108</v>
      </c>
      <c r="B13" s="120" t="s">
        <v>5</v>
      </c>
      <c r="C13" s="148"/>
      <c r="D13" s="148"/>
      <c r="E13" s="148"/>
      <c r="F13" s="178"/>
      <c r="G13" s="148" t="s">
        <v>10</v>
      </c>
      <c r="H13" s="148"/>
      <c r="I13" s="148"/>
      <c r="J13" s="148"/>
      <c r="K13" s="148"/>
      <c r="L13" s="148"/>
      <c r="M13" s="178" t="s">
        <v>5</v>
      </c>
      <c r="N13" s="148"/>
      <c r="O13" s="148"/>
      <c r="P13" s="148"/>
      <c r="Q13" s="148"/>
      <c r="R13" s="148"/>
      <c r="S13" s="178" t="s">
        <v>5</v>
      </c>
      <c r="T13" s="148"/>
      <c r="U13" s="148"/>
      <c r="V13" s="148"/>
      <c r="W13" s="148"/>
      <c r="X13" s="148"/>
      <c r="Y13" s="148"/>
      <c r="Z13" s="178" t="s">
        <v>5</v>
      </c>
      <c r="AA13" s="148"/>
      <c r="AB13" s="148"/>
      <c r="AC13" s="148"/>
      <c r="AD13" s="148"/>
      <c r="AE13" s="149"/>
      <c r="AF13" s="154"/>
      <c r="AG13" s="16">
        <f t="shared" si="0"/>
        <v>0</v>
      </c>
      <c r="AH13" s="9">
        <f t="shared" si="1"/>
        <v>5</v>
      </c>
      <c r="AI13" s="122">
        <v>0</v>
      </c>
      <c r="AJ13" s="115">
        <f>'2026.5.'!AL13</f>
        <v>46209</v>
      </c>
      <c r="AK13" s="8" t="str">
        <f t="shared" si="2"/>
        <v/>
      </c>
      <c r="AL13" s="8">
        <f>AJ13</f>
        <v>46209</v>
      </c>
      <c r="AM13" s="80"/>
    </row>
    <row r="14" spans="1:39" x14ac:dyDescent="0.3">
      <c r="A14" s="10">
        <v>109</v>
      </c>
      <c r="B14" s="120"/>
      <c r="C14" s="148"/>
      <c r="D14" s="148"/>
      <c r="E14" s="148"/>
      <c r="F14" s="148"/>
      <c r="G14" s="178" t="s">
        <v>5</v>
      </c>
      <c r="H14" s="148"/>
      <c r="I14" s="148" t="s">
        <v>13</v>
      </c>
      <c r="J14" s="148"/>
      <c r="K14" s="148"/>
      <c r="L14" s="148"/>
      <c r="M14" s="35"/>
      <c r="N14" s="35" t="s">
        <v>5</v>
      </c>
      <c r="O14" s="35"/>
      <c r="P14" s="35"/>
      <c r="Q14" s="35"/>
      <c r="R14" s="35"/>
      <c r="S14" s="35"/>
      <c r="T14" s="35"/>
      <c r="U14" s="35" t="s">
        <v>5</v>
      </c>
      <c r="V14" s="148"/>
      <c r="W14" s="148"/>
      <c r="X14" s="148"/>
      <c r="Y14" s="148"/>
      <c r="Z14" s="148"/>
      <c r="AA14" s="253" t="s">
        <v>83</v>
      </c>
      <c r="AB14" s="254"/>
      <c r="AC14" s="254"/>
      <c r="AD14" s="254"/>
      <c r="AE14" s="300"/>
      <c r="AF14" s="154"/>
      <c r="AG14" s="16">
        <f t="shared" si="0"/>
        <v>1</v>
      </c>
      <c r="AH14" s="9">
        <f t="shared" si="1"/>
        <v>3</v>
      </c>
      <c r="AI14" s="122">
        <v>0</v>
      </c>
      <c r="AJ14" s="115">
        <f>'2026.5.'!AL14</f>
        <v>46179</v>
      </c>
      <c r="AK14" s="8">
        <f t="shared" si="2"/>
        <v>46181</v>
      </c>
      <c r="AL14" s="8">
        <f t="shared" si="3"/>
        <v>46221</v>
      </c>
    </row>
    <row r="15" spans="1:39" x14ac:dyDescent="0.3">
      <c r="A15" s="10">
        <v>110</v>
      </c>
      <c r="B15" s="137"/>
      <c r="C15" s="35"/>
      <c r="D15" s="35"/>
      <c r="E15" s="35" t="s">
        <v>5</v>
      </c>
      <c r="F15" s="148"/>
      <c r="G15" s="148"/>
      <c r="H15" s="148"/>
      <c r="I15" s="148"/>
      <c r="J15" s="148"/>
      <c r="K15" s="35"/>
      <c r="L15" s="35" t="s">
        <v>5</v>
      </c>
      <c r="M15" s="35"/>
      <c r="N15" s="35"/>
      <c r="O15" s="35"/>
      <c r="P15" s="35"/>
      <c r="Q15" s="148"/>
      <c r="R15" s="148"/>
      <c r="S15" s="178" t="s">
        <v>5</v>
      </c>
      <c r="T15" s="148"/>
      <c r="U15" s="148"/>
      <c r="V15" s="148"/>
      <c r="W15" s="148"/>
      <c r="X15" s="148"/>
      <c r="Y15" s="148"/>
      <c r="Z15" s="178" t="s">
        <v>5</v>
      </c>
      <c r="AA15" s="148"/>
      <c r="AB15" s="148"/>
      <c r="AC15" s="148"/>
      <c r="AD15" s="148"/>
      <c r="AE15" s="149"/>
      <c r="AF15" s="154"/>
      <c r="AG15" s="16">
        <f t="shared" si="0"/>
        <v>0</v>
      </c>
      <c r="AH15" s="9">
        <f t="shared" si="1"/>
        <v>4</v>
      </c>
      <c r="AI15" s="122">
        <v>0</v>
      </c>
      <c r="AJ15" s="115">
        <f>'2026.5.'!AL15</f>
        <v>46211</v>
      </c>
      <c r="AK15" s="8" t="str">
        <f t="shared" si="2"/>
        <v/>
      </c>
      <c r="AL15" s="8">
        <f>AJ15</f>
        <v>46211</v>
      </c>
    </row>
    <row r="16" spans="1:39" x14ac:dyDescent="0.3">
      <c r="A16" s="10">
        <v>111</v>
      </c>
      <c r="B16" s="120"/>
      <c r="C16" s="148"/>
      <c r="D16" s="148"/>
      <c r="E16" s="148"/>
      <c r="F16" s="178" t="s">
        <v>5</v>
      </c>
      <c r="G16" s="148"/>
      <c r="H16" s="148"/>
      <c r="I16" s="148"/>
      <c r="J16" s="148"/>
      <c r="K16" s="148"/>
      <c r="L16" s="148"/>
      <c r="M16" s="178" t="s">
        <v>5</v>
      </c>
      <c r="N16" s="148"/>
      <c r="O16" s="148"/>
      <c r="P16" s="148"/>
      <c r="Q16" s="148"/>
      <c r="R16" s="148"/>
      <c r="S16" s="148"/>
      <c r="T16" s="178" t="s">
        <v>5</v>
      </c>
      <c r="U16" s="148"/>
      <c r="V16" s="35"/>
      <c r="W16" s="35"/>
      <c r="X16" s="35"/>
      <c r="Y16" s="35"/>
      <c r="Z16" s="35" t="s">
        <v>13</v>
      </c>
      <c r="AA16" s="35" t="s">
        <v>5</v>
      </c>
      <c r="AB16" s="148"/>
      <c r="AC16" s="148"/>
      <c r="AD16" s="148"/>
      <c r="AE16" s="149"/>
      <c r="AF16" s="154"/>
      <c r="AG16" s="16">
        <f t="shared" si="0"/>
        <v>1</v>
      </c>
      <c r="AH16" s="9">
        <f t="shared" si="1"/>
        <v>4</v>
      </c>
      <c r="AI16" s="122">
        <v>0</v>
      </c>
      <c r="AJ16" s="115">
        <f>'2026.5.'!AL16</f>
        <v>46201</v>
      </c>
      <c r="AK16" s="8">
        <f t="shared" si="2"/>
        <v>46198</v>
      </c>
      <c r="AL16" s="8">
        <f t="shared" si="3"/>
        <v>46238</v>
      </c>
    </row>
    <row r="17" spans="1:39" x14ac:dyDescent="0.3">
      <c r="A17" s="10">
        <v>112</v>
      </c>
      <c r="B17" s="120"/>
      <c r="C17" s="148"/>
      <c r="D17" s="148"/>
      <c r="E17" s="178" t="s">
        <v>5</v>
      </c>
      <c r="F17" s="148"/>
      <c r="G17" s="148"/>
      <c r="H17" s="148"/>
      <c r="I17" s="148"/>
      <c r="J17" s="148"/>
      <c r="K17" s="148"/>
      <c r="L17" s="178" t="s">
        <v>5</v>
      </c>
      <c r="M17" s="148"/>
      <c r="N17" s="148"/>
      <c r="O17" s="148"/>
      <c r="P17" s="148"/>
      <c r="Q17" s="148"/>
      <c r="R17" s="148"/>
      <c r="S17" s="148" t="s">
        <v>13</v>
      </c>
      <c r="T17" s="178" t="s">
        <v>5</v>
      </c>
      <c r="U17" s="148"/>
      <c r="V17" s="148"/>
      <c r="W17" s="148"/>
      <c r="X17" s="35"/>
      <c r="Y17" s="35"/>
      <c r="Z17" s="35"/>
      <c r="AA17" s="35" t="s">
        <v>5</v>
      </c>
      <c r="AB17" s="148"/>
      <c r="AC17" s="148"/>
      <c r="AD17" s="148"/>
      <c r="AE17" s="149"/>
      <c r="AF17" s="154"/>
      <c r="AG17" s="16">
        <f t="shared" si="0"/>
        <v>1</v>
      </c>
      <c r="AH17" s="9">
        <f t="shared" si="1"/>
        <v>4</v>
      </c>
      <c r="AI17" s="122">
        <v>0</v>
      </c>
      <c r="AJ17" s="115">
        <f>'2026.5.'!AL17</f>
        <v>46193</v>
      </c>
      <c r="AK17" s="8">
        <f t="shared" si="2"/>
        <v>46191</v>
      </c>
      <c r="AL17" s="8">
        <f t="shared" si="3"/>
        <v>46231</v>
      </c>
      <c r="AM17" s="81"/>
    </row>
    <row r="18" spans="1:39" x14ac:dyDescent="0.3">
      <c r="A18" s="10">
        <v>113</v>
      </c>
      <c r="B18" s="120"/>
      <c r="C18" s="148"/>
      <c r="D18" s="148"/>
      <c r="E18" s="148"/>
      <c r="F18" s="35" t="s">
        <v>5</v>
      </c>
      <c r="G18" s="35"/>
      <c r="H18" s="35"/>
      <c r="I18" s="35"/>
      <c r="J18" s="35"/>
      <c r="K18" s="35"/>
      <c r="L18" s="148"/>
      <c r="M18" s="178" t="s">
        <v>5</v>
      </c>
      <c r="N18" s="148"/>
      <c r="O18" s="148"/>
      <c r="P18" s="148"/>
      <c r="Q18" s="148"/>
      <c r="R18" s="148"/>
      <c r="S18" s="178" t="s">
        <v>5</v>
      </c>
      <c r="T18" s="148"/>
      <c r="U18" s="148"/>
      <c r="V18" s="148"/>
      <c r="W18" s="148"/>
      <c r="X18" s="148" t="s">
        <v>13</v>
      </c>
      <c r="Y18" s="148"/>
      <c r="Z18" s="178" t="s">
        <v>5</v>
      </c>
      <c r="AA18" s="148"/>
      <c r="AB18" s="148"/>
      <c r="AC18" s="148"/>
      <c r="AD18" s="148"/>
      <c r="AE18" s="149"/>
      <c r="AF18" s="154"/>
      <c r="AG18" s="16">
        <f t="shared" si="0"/>
        <v>1</v>
      </c>
      <c r="AH18" s="9">
        <f t="shared" si="1"/>
        <v>4</v>
      </c>
      <c r="AI18" s="122">
        <v>0</v>
      </c>
      <c r="AJ18" s="115">
        <f>'2026.5.'!AL18</f>
        <v>46196</v>
      </c>
      <c r="AK18" s="8">
        <f t="shared" si="2"/>
        <v>46196</v>
      </c>
      <c r="AL18" s="8">
        <f t="shared" si="3"/>
        <v>46236</v>
      </c>
    </row>
    <row r="19" spans="1:39" x14ac:dyDescent="0.3">
      <c r="A19" s="10">
        <v>114</v>
      </c>
      <c r="B19" s="162"/>
      <c r="C19" s="138" t="s">
        <v>13</v>
      </c>
      <c r="D19" s="138"/>
      <c r="E19" s="138"/>
      <c r="F19" s="148"/>
      <c r="G19" s="148"/>
      <c r="H19" s="148"/>
      <c r="I19" s="178" t="s">
        <v>5</v>
      </c>
      <c r="J19" s="148"/>
      <c r="K19" s="148"/>
      <c r="L19" s="148"/>
      <c r="M19" s="148"/>
      <c r="N19" s="148"/>
      <c r="O19" s="148"/>
      <c r="P19" s="178" t="s">
        <v>5</v>
      </c>
      <c r="Q19" s="148"/>
      <c r="R19" s="148"/>
      <c r="S19" s="148"/>
      <c r="T19" s="148"/>
      <c r="U19" s="148"/>
      <c r="V19" s="148"/>
      <c r="W19" s="178" t="s">
        <v>5</v>
      </c>
      <c r="X19" s="148"/>
      <c r="Y19" s="148"/>
      <c r="Z19" s="148"/>
      <c r="AA19" s="148"/>
      <c r="AB19" s="148"/>
      <c r="AC19" s="148"/>
      <c r="AD19" s="35" t="s">
        <v>5</v>
      </c>
      <c r="AE19" s="150"/>
      <c r="AF19" s="155"/>
      <c r="AG19" s="16">
        <f t="shared" si="0"/>
        <v>1</v>
      </c>
      <c r="AH19" s="9">
        <f t="shared" si="1"/>
        <v>4</v>
      </c>
      <c r="AI19" s="122">
        <v>0</v>
      </c>
      <c r="AJ19" s="115">
        <f>'2026.5.'!AL19</f>
        <v>46175</v>
      </c>
      <c r="AK19" s="8">
        <f t="shared" si="2"/>
        <v>46175</v>
      </c>
      <c r="AL19" s="8">
        <f t="shared" si="3"/>
        <v>46215</v>
      </c>
      <c r="AM19" s="81"/>
    </row>
    <row r="20" spans="1:39" x14ac:dyDescent="0.3">
      <c r="A20" s="10">
        <v>115</v>
      </c>
      <c r="B20" s="137"/>
      <c r="C20" s="35"/>
      <c r="D20" s="35"/>
      <c r="E20" s="35"/>
      <c r="F20" s="35"/>
      <c r="G20" s="35"/>
      <c r="H20" s="35" t="s">
        <v>5</v>
      </c>
      <c r="I20" s="35"/>
      <c r="J20" s="35"/>
      <c r="K20" s="35"/>
      <c r="L20" s="35"/>
      <c r="M20" s="35" t="s">
        <v>13</v>
      </c>
      <c r="N20" s="35" t="s">
        <v>5</v>
      </c>
      <c r="O20" s="35"/>
      <c r="P20" s="35"/>
      <c r="Q20" s="35"/>
      <c r="R20" s="35"/>
      <c r="S20" s="35"/>
      <c r="T20" s="35"/>
      <c r="U20" s="35" t="s">
        <v>5</v>
      </c>
      <c r="V20" s="35"/>
      <c r="W20" s="35"/>
      <c r="X20" s="35"/>
      <c r="Y20" s="35"/>
      <c r="Z20" s="35"/>
      <c r="AA20" s="35"/>
      <c r="AB20" s="35" t="s">
        <v>5</v>
      </c>
      <c r="AC20" s="35"/>
      <c r="AD20" s="35"/>
      <c r="AE20" s="150"/>
      <c r="AF20" s="154"/>
      <c r="AG20" s="16">
        <f t="shared" si="0"/>
        <v>1</v>
      </c>
      <c r="AH20" s="9">
        <f t="shared" si="1"/>
        <v>4</v>
      </c>
      <c r="AI20" s="122">
        <v>0</v>
      </c>
      <c r="AJ20" s="115">
        <f>'2026.5.'!AL20</f>
        <v>46186</v>
      </c>
      <c r="AK20" s="8">
        <f t="shared" si="2"/>
        <v>46185</v>
      </c>
      <c r="AL20" s="8">
        <f t="shared" si="3"/>
        <v>46225</v>
      </c>
    </row>
    <row r="21" spans="1:39" x14ac:dyDescent="0.3">
      <c r="A21" s="10">
        <v>116</v>
      </c>
      <c r="B21" s="120"/>
      <c r="C21" s="35"/>
      <c r="D21" s="35" t="s">
        <v>5</v>
      </c>
      <c r="E21" s="35"/>
      <c r="F21" s="35"/>
      <c r="G21" s="35"/>
      <c r="H21" s="35"/>
      <c r="I21" s="35"/>
      <c r="J21" s="35"/>
      <c r="K21" s="35" t="s">
        <v>5</v>
      </c>
      <c r="L21" s="35"/>
      <c r="M21" s="35"/>
      <c r="N21" s="35"/>
      <c r="O21" s="35"/>
      <c r="P21" s="35"/>
      <c r="Q21" s="35"/>
      <c r="R21" s="35" t="s">
        <v>5</v>
      </c>
      <c r="S21" s="35"/>
      <c r="T21" s="35"/>
      <c r="U21" s="35"/>
      <c r="V21" s="35"/>
      <c r="W21" s="35"/>
      <c r="X21" s="35"/>
      <c r="Y21" s="35" t="s">
        <v>5</v>
      </c>
      <c r="Z21" s="35"/>
      <c r="AA21" s="35"/>
      <c r="AB21" s="35"/>
      <c r="AC21" s="35"/>
      <c r="AD21" s="35"/>
      <c r="AE21" s="150" t="s">
        <v>13</v>
      </c>
      <c r="AF21" s="154"/>
      <c r="AG21" s="16">
        <f t="shared" si="0"/>
        <v>1</v>
      </c>
      <c r="AH21" s="9">
        <f t="shared" si="1"/>
        <v>4</v>
      </c>
      <c r="AI21" s="122">
        <v>0</v>
      </c>
      <c r="AJ21" s="115">
        <f>'2026.5.'!AL21</f>
        <v>46203</v>
      </c>
      <c r="AK21" s="8">
        <f t="shared" si="2"/>
        <v>46203</v>
      </c>
      <c r="AL21" s="8">
        <f t="shared" si="3"/>
        <v>46243</v>
      </c>
    </row>
    <row r="22" spans="1:39" x14ac:dyDescent="0.3">
      <c r="A22" s="10">
        <v>117</v>
      </c>
      <c r="B22" s="291" t="s">
        <v>162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T22" s="251"/>
      <c r="U22" s="251"/>
      <c r="V22" s="251"/>
      <c r="W22" s="251"/>
      <c r="X22" s="251"/>
      <c r="Y22" s="251"/>
      <c r="Z22" s="251"/>
      <c r="AA22" s="251"/>
      <c r="AB22" s="251"/>
      <c r="AC22" s="251"/>
      <c r="AD22" s="251"/>
      <c r="AE22" s="308"/>
      <c r="AF22" s="154"/>
      <c r="AG22" s="16">
        <f t="shared" si="0"/>
        <v>0</v>
      </c>
      <c r="AH22" s="9">
        <f t="shared" si="1"/>
        <v>0</v>
      </c>
      <c r="AI22" s="122">
        <v>0</v>
      </c>
      <c r="AJ22" s="115">
        <f>'2026.5.'!AL22</f>
        <v>46189</v>
      </c>
      <c r="AK22" s="8" t="str">
        <f t="shared" si="2"/>
        <v/>
      </c>
      <c r="AL22" s="8">
        <f>AJ22</f>
        <v>46189</v>
      </c>
      <c r="AM22" s="81"/>
    </row>
    <row r="23" spans="1:39" x14ac:dyDescent="0.3">
      <c r="A23" s="10">
        <v>118</v>
      </c>
      <c r="B23" s="120"/>
      <c r="C23" s="148"/>
      <c r="D23" s="148"/>
      <c r="E23" s="148"/>
      <c r="F23" s="148" t="s">
        <v>10</v>
      </c>
      <c r="G23" s="178"/>
      <c r="H23" s="148"/>
      <c r="I23" s="148"/>
      <c r="J23" s="253" t="s">
        <v>80</v>
      </c>
      <c r="K23" s="254"/>
      <c r="L23" s="254"/>
      <c r="M23" s="249"/>
      <c r="N23" s="148"/>
      <c r="O23" s="148"/>
      <c r="P23" s="148" t="s">
        <v>13</v>
      </c>
      <c r="Q23" s="148"/>
      <c r="R23" s="148"/>
      <c r="S23" s="148"/>
      <c r="T23" s="178" t="s">
        <v>5</v>
      </c>
      <c r="U23" s="148"/>
      <c r="V23" s="148"/>
      <c r="W23" s="148"/>
      <c r="X23" s="148"/>
      <c r="Y23" s="148"/>
      <c r="Z23" s="148"/>
      <c r="AA23" s="148"/>
      <c r="AB23" s="178" t="s">
        <v>5</v>
      </c>
      <c r="AC23" s="148"/>
      <c r="AD23" s="148"/>
      <c r="AE23" s="149"/>
      <c r="AF23" s="154"/>
      <c r="AG23" s="16">
        <f t="shared" si="0"/>
        <v>1</v>
      </c>
      <c r="AH23" s="9">
        <f t="shared" si="1"/>
        <v>3</v>
      </c>
      <c r="AI23" s="122">
        <v>0</v>
      </c>
      <c r="AJ23" s="115">
        <f>'2026.5.'!AL23</f>
        <v>46197</v>
      </c>
      <c r="AK23" s="8">
        <f t="shared" si="2"/>
        <v>46188</v>
      </c>
      <c r="AL23" s="8">
        <f t="shared" si="3"/>
        <v>46228</v>
      </c>
      <c r="AM23" s="80"/>
    </row>
    <row r="24" spans="1:39" x14ac:dyDescent="0.3">
      <c r="A24" s="10">
        <v>119</v>
      </c>
      <c r="B24" s="120"/>
      <c r="C24" s="178" t="s">
        <v>5</v>
      </c>
      <c r="D24" s="148"/>
      <c r="E24" s="148"/>
      <c r="F24" s="148"/>
      <c r="G24" s="148"/>
      <c r="H24" s="148"/>
      <c r="I24" s="148"/>
      <c r="J24" s="178" t="s">
        <v>5</v>
      </c>
      <c r="K24" s="148"/>
      <c r="L24" s="148"/>
      <c r="M24" s="148"/>
      <c r="N24" s="148"/>
      <c r="O24" s="148"/>
      <c r="P24" s="148"/>
      <c r="Q24" s="178" t="s">
        <v>5</v>
      </c>
      <c r="R24" s="148" t="s">
        <v>13</v>
      </c>
      <c r="S24" s="148"/>
      <c r="T24" s="148"/>
      <c r="U24" s="148"/>
      <c r="V24" s="148"/>
      <c r="W24" s="148"/>
      <c r="X24" s="178" t="s">
        <v>5</v>
      </c>
      <c r="Y24" s="148"/>
      <c r="Z24" s="35"/>
      <c r="AA24" s="35"/>
      <c r="AB24" s="35"/>
      <c r="AC24" s="35"/>
      <c r="AD24" s="35"/>
      <c r="AE24" s="150" t="s">
        <v>5</v>
      </c>
      <c r="AF24" s="154"/>
      <c r="AG24" s="16">
        <f t="shared" si="0"/>
        <v>1</v>
      </c>
      <c r="AH24" s="9">
        <f t="shared" si="1"/>
        <v>5</v>
      </c>
      <c r="AI24" s="122">
        <v>0</v>
      </c>
      <c r="AJ24" s="115">
        <f>'2026.5.'!AL24</f>
        <v>46190</v>
      </c>
      <c r="AK24" s="8">
        <f t="shared" si="2"/>
        <v>46190</v>
      </c>
      <c r="AL24" s="8">
        <f t="shared" si="3"/>
        <v>46230</v>
      </c>
      <c r="AM24" s="80"/>
    </row>
    <row r="25" spans="1:39" x14ac:dyDescent="0.3">
      <c r="A25" s="10">
        <v>120</v>
      </c>
      <c r="B25" s="120"/>
      <c r="C25" s="178" t="s">
        <v>5</v>
      </c>
      <c r="D25" s="148"/>
      <c r="E25" s="148"/>
      <c r="F25" s="148"/>
      <c r="G25" s="148"/>
      <c r="H25" s="148"/>
      <c r="I25" s="148"/>
      <c r="J25" s="178" t="s">
        <v>5</v>
      </c>
      <c r="K25" s="148"/>
      <c r="L25" s="148"/>
      <c r="M25" s="148"/>
      <c r="N25" s="148"/>
      <c r="O25" s="148"/>
      <c r="P25" s="148"/>
      <c r="Q25" s="178" t="s">
        <v>5</v>
      </c>
      <c r="R25" s="148"/>
      <c r="S25" s="148"/>
      <c r="T25" s="148"/>
      <c r="U25" s="148"/>
      <c r="V25" s="148"/>
      <c r="W25" s="148" t="s">
        <v>13</v>
      </c>
      <c r="X25" s="178" t="s">
        <v>5</v>
      </c>
      <c r="Y25" s="148"/>
      <c r="Z25" s="148"/>
      <c r="AA25" s="148"/>
      <c r="AB25" s="148"/>
      <c r="AC25" s="148"/>
      <c r="AD25" s="148"/>
      <c r="AE25" s="149" t="s">
        <v>5</v>
      </c>
      <c r="AF25" s="154"/>
      <c r="AG25" s="16">
        <f t="shared" si="0"/>
        <v>1</v>
      </c>
      <c r="AH25" s="9">
        <f t="shared" si="1"/>
        <v>5</v>
      </c>
      <c r="AI25" s="122">
        <v>0</v>
      </c>
      <c r="AJ25" s="115">
        <f>'2026.5.'!AL25</f>
        <v>46194</v>
      </c>
      <c r="AK25" s="8">
        <f t="shared" si="2"/>
        <v>46195</v>
      </c>
      <c r="AL25" s="8">
        <f t="shared" si="3"/>
        <v>46235</v>
      </c>
      <c r="AM25" s="81"/>
    </row>
    <row r="26" spans="1:39" x14ac:dyDescent="0.3">
      <c r="A26" s="10">
        <v>121</v>
      </c>
      <c r="B26" s="120"/>
      <c r="C26" s="148"/>
      <c r="D26" s="35"/>
      <c r="E26" s="35"/>
      <c r="F26" s="35"/>
      <c r="G26" s="35" t="s">
        <v>5</v>
      </c>
      <c r="H26" s="148"/>
      <c r="I26" s="148"/>
      <c r="J26" s="148"/>
      <c r="K26" s="148"/>
      <c r="L26" s="35"/>
      <c r="M26" s="35"/>
      <c r="N26" s="35" t="s">
        <v>5</v>
      </c>
      <c r="O26" s="35"/>
      <c r="P26" s="148"/>
      <c r="Q26" s="148"/>
      <c r="R26" s="148"/>
      <c r="S26" s="148"/>
      <c r="T26" s="148"/>
      <c r="U26" s="178" t="s">
        <v>5</v>
      </c>
      <c r="V26" s="148"/>
      <c r="W26" s="148"/>
      <c r="X26" s="148"/>
      <c r="Y26" s="148" t="s">
        <v>13</v>
      </c>
      <c r="Z26" s="148"/>
      <c r="AA26" s="148"/>
      <c r="AB26" s="178" t="s">
        <v>5</v>
      </c>
      <c r="AC26" s="148"/>
      <c r="AD26" s="148"/>
      <c r="AE26" s="149"/>
      <c r="AF26" s="154"/>
      <c r="AG26" s="16">
        <f t="shared" si="0"/>
        <v>1</v>
      </c>
      <c r="AH26" s="9">
        <f t="shared" si="1"/>
        <v>4</v>
      </c>
      <c r="AI26" s="122">
        <v>0</v>
      </c>
      <c r="AJ26" s="115">
        <f>'2026.5.'!AL26</f>
        <v>46202</v>
      </c>
      <c r="AK26" s="8">
        <f t="shared" si="2"/>
        <v>46197</v>
      </c>
      <c r="AL26" s="8">
        <f t="shared" si="3"/>
        <v>46237</v>
      </c>
    </row>
    <row r="27" spans="1:39" x14ac:dyDescent="0.3">
      <c r="A27" s="10">
        <v>122</v>
      </c>
      <c r="B27" s="120"/>
      <c r="C27" s="178" t="s">
        <v>5</v>
      </c>
      <c r="D27" s="148"/>
      <c r="E27" s="148" t="s">
        <v>13</v>
      </c>
      <c r="F27" s="148"/>
      <c r="G27" s="148"/>
      <c r="H27" s="148"/>
      <c r="I27" s="148"/>
      <c r="J27" s="178" t="s">
        <v>5</v>
      </c>
      <c r="K27" s="148"/>
      <c r="L27" s="148"/>
      <c r="M27" s="148"/>
      <c r="N27" s="148"/>
      <c r="O27" s="148"/>
      <c r="P27" s="148"/>
      <c r="Q27" s="35" t="s">
        <v>5</v>
      </c>
      <c r="R27" s="35"/>
      <c r="S27" s="35"/>
      <c r="T27" s="35"/>
      <c r="U27" s="35"/>
      <c r="V27" s="35"/>
      <c r="W27" s="148"/>
      <c r="X27" s="178" t="s">
        <v>5</v>
      </c>
      <c r="Y27" s="148"/>
      <c r="Z27" s="148"/>
      <c r="AA27" s="148"/>
      <c r="AB27" s="148"/>
      <c r="AC27" s="148"/>
      <c r="AD27" s="148"/>
      <c r="AE27" s="149" t="s">
        <v>5</v>
      </c>
      <c r="AF27" s="154"/>
      <c r="AG27" s="16">
        <f t="shared" si="0"/>
        <v>1</v>
      </c>
      <c r="AH27" s="9">
        <f t="shared" si="1"/>
        <v>5</v>
      </c>
      <c r="AI27" s="122">
        <v>0</v>
      </c>
      <c r="AJ27" s="115">
        <f>'2026.5.'!AL27</f>
        <v>46174</v>
      </c>
      <c r="AK27" s="8">
        <f t="shared" si="2"/>
        <v>46177</v>
      </c>
      <c r="AL27" s="8">
        <f t="shared" si="3"/>
        <v>46217</v>
      </c>
    </row>
    <row r="28" spans="1:39" x14ac:dyDescent="0.3">
      <c r="A28" s="10">
        <v>123</v>
      </c>
      <c r="B28" s="120"/>
      <c r="C28" s="253" t="s">
        <v>122</v>
      </c>
      <c r="D28" s="254"/>
      <c r="E28" s="254"/>
      <c r="F28" s="254"/>
      <c r="G28" s="254"/>
      <c r="H28" s="254"/>
      <c r="I28" s="249"/>
      <c r="J28" s="148" t="s">
        <v>13</v>
      </c>
      <c r="K28" s="148"/>
      <c r="L28" s="148"/>
      <c r="M28" s="148"/>
      <c r="N28" s="148"/>
      <c r="O28" s="148"/>
      <c r="P28" s="178" t="s">
        <v>5</v>
      </c>
      <c r="Q28" s="148"/>
      <c r="R28" s="148"/>
      <c r="S28" s="148"/>
      <c r="T28" s="148"/>
      <c r="U28" s="148"/>
      <c r="V28" s="148"/>
      <c r="W28" s="178" t="s">
        <v>5</v>
      </c>
      <c r="X28" s="148"/>
      <c r="Y28" s="148"/>
      <c r="Z28" s="148"/>
      <c r="AA28" s="148"/>
      <c r="AB28" s="148"/>
      <c r="AC28" s="148"/>
      <c r="AD28" s="178" t="s">
        <v>5</v>
      </c>
      <c r="AE28" s="149"/>
      <c r="AF28" s="154"/>
      <c r="AG28" s="16">
        <f t="shared" si="0"/>
        <v>1</v>
      </c>
      <c r="AH28" s="9">
        <f t="shared" si="1"/>
        <v>3</v>
      </c>
      <c r="AI28" s="122">
        <v>0</v>
      </c>
      <c r="AJ28" s="115">
        <f>'2026.5.'!AL28</f>
        <v>46195</v>
      </c>
      <c r="AK28" s="8">
        <f t="shared" si="2"/>
        <v>46182</v>
      </c>
      <c r="AL28" s="8">
        <f t="shared" si="3"/>
        <v>46222</v>
      </c>
    </row>
    <row r="29" spans="1:39" x14ac:dyDescent="0.3">
      <c r="A29" s="10" t="s">
        <v>10</v>
      </c>
      <c r="B29" s="123">
        <f>COUNTIF(B6:B28,"7D")</f>
        <v>3</v>
      </c>
      <c r="C29" s="141">
        <f t="shared" ref="C29:AF29" si="4">COUNTIF(C6:C28,"7D")</f>
        <v>3</v>
      </c>
      <c r="D29" s="141">
        <f t="shared" si="4"/>
        <v>3</v>
      </c>
      <c r="E29" s="141">
        <f t="shared" si="4"/>
        <v>3</v>
      </c>
      <c r="F29" s="141">
        <f t="shared" si="4"/>
        <v>3</v>
      </c>
      <c r="G29" s="141">
        <f t="shared" si="4"/>
        <v>3</v>
      </c>
      <c r="H29" s="141">
        <f t="shared" si="4"/>
        <v>3</v>
      </c>
      <c r="I29" s="141">
        <f t="shared" si="4"/>
        <v>3</v>
      </c>
      <c r="J29" s="141">
        <f t="shared" si="4"/>
        <v>3</v>
      </c>
      <c r="K29" s="141">
        <f t="shared" si="4"/>
        <v>3</v>
      </c>
      <c r="L29" s="141">
        <f t="shared" si="4"/>
        <v>3</v>
      </c>
      <c r="M29" s="141">
        <f t="shared" si="4"/>
        <v>3</v>
      </c>
      <c r="N29" s="141">
        <f t="shared" si="4"/>
        <v>3</v>
      </c>
      <c r="O29" s="141">
        <f t="shared" si="4"/>
        <v>3</v>
      </c>
      <c r="P29" s="141">
        <f t="shared" si="4"/>
        <v>3</v>
      </c>
      <c r="Q29" s="141">
        <f t="shared" si="4"/>
        <v>3</v>
      </c>
      <c r="R29" s="141">
        <f t="shared" si="4"/>
        <v>3</v>
      </c>
      <c r="S29" s="141">
        <f t="shared" si="4"/>
        <v>3</v>
      </c>
      <c r="T29" s="141">
        <f t="shared" si="4"/>
        <v>3</v>
      </c>
      <c r="U29" s="141">
        <f t="shared" si="4"/>
        <v>3</v>
      </c>
      <c r="V29" s="141">
        <f t="shared" si="4"/>
        <v>2</v>
      </c>
      <c r="W29" s="141">
        <f t="shared" si="4"/>
        <v>3</v>
      </c>
      <c r="X29" s="141">
        <f t="shared" si="4"/>
        <v>3</v>
      </c>
      <c r="Y29" s="141">
        <f t="shared" si="4"/>
        <v>3</v>
      </c>
      <c r="Z29" s="141">
        <f t="shared" si="4"/>
        <v>3</v>
      </c>
      <c r="AA29" s="141">
        <f t="shared" si="4"/>
        <v>3</v>
      </c>
      <c r="AB29" s="141">
        <f t="shared" si="4"/>
        <v>3</v>
      </c>
      <c r="AC29" s="141">
        <f t="shared" si="4"/>
        <v>2</v>
      </c>
      <c r="AD29" s="141">
        <f t="shared" si="4"/>
        <v>3</v>
      </c>
      <c r="AE29" s="147">
        <f t="shared" si="4"/>
        <v>3</v>
      </c>
      <c r="AF29" s="156">
        <f t="shared" si="4"/>
        <v>0</v>
      </c>
      <c r="AG29" s="16"/>
      <c r="AH29" s="13">
        <f>SUM(B29:AF29)</f>
        <v>88</v>
      </c>
      <c r="AI29" s="147"/>
      <c r="AJ29" s="2"/>
      <c r="AK29" s="14"/>
      <c r="AL29" s="1"/>
    </row>
    <row r="30" spans="1:39" x14ac:dyDescent="0.3">
      <c r="A30" s="10" t="s">
        <v>6</v>
      </c>
      <c r="B30" s="123">
        <v>1</v>
      </c>
      <c r="C30" s="141">
        <v>1</v>
      </c>
      <c r="D30" s="148">
        <v>0</v>
      </c>
      <c r="E30" s="148">
        <v>1</v>
      </c>
      <c r="F30" s="148">
        <v>1</v>
      </c>
      <c r="G30" s="141">
        <v>0</v>
      </c>
      <c r="H30" s="141">
        <v>0</v>
      </c>
      <c r="I30" s="141">
        <v>1</v>
      </c>
      <c r="J30" s="141">
        <v>1</v>
      </c>
      <c r="K30" s="141">
        <v>1</v>
      </c>
      <c r="L30" s="141">
        <v>1</v>
      </c>
      <c r="M30" s="141">
        <v>1</v>
      </c>
      <c r="N30" s="141">
        <v>0</v>
      </c>
      <c r="O30" s="141">
        <v>0</v>
      </c>
      <c r="P30" s="141">
        <v>1</v>
      </c>
      <c r="Q30" s="141">
        <v>1</v>
      </c>
      <c r="R30" s="141">
        <v>1</v>
      </c>
      <c r="S30" s="141">
        <v>1</v>
      </c>
      <c r="T30" s="51">
        <v>0</v>
      </c>
      <c r="U30" s="141">
        <v>0</v>
      </c>
      <c r="V30" s="141">
        <v>0</v>
      </c>
      <c r="W30" s="141">
        <v>1</v>
      </c>
      <c r="X30" s="141">
        <v>1</v>
      </c>
      <c r="Y30" s="141">
        <v>1</v>
      </c>
      <c r="Z30" s="141">
        <v>1</v>
      </c>
      <c r="AA30" s="141">
        <v>1</v>
      </c>
      <c r="AB30" s="141">
        <v>0</v>
      </c>
      <c r="AC30" s="141">
        <v>0</v>
      </c>
      <c r="AD30" s="141">
        <v>1</v>
      </c>
      <c r="AE30" s="147">
        <v>1</v>
      </c>
      <c r="AF30" s="156">
        <v>0</v>
      </c>
      <c r="AG30" s="16"/>
      <c r="AH30" s="141"/>
      <c r="AI30" s="147">
        <f>SUM(B30:AF30)</f>
        <v>20</v>
      </c>
      <c r="AJ30" s="2"/>
      <c r="AK30" s="1"/>
      <c r="AL30" s="1"/>
    </row>
    <row r="31" spans="1:39" ht="17.25" thickBot="1" x14ac:dyDescent="0.35">
      <c r="A31" s="10" t="s">
        <v>12</v>
      </c>
      <c r="B31" s="125">
        <f>COUNTIF(B6:B28,"청")</f>
        <v>1</v>
      </c>
      <c r="C31" s="145">
        <f t="shared" ref="C31:AF31" si="5">COUNTIF(C6:C28,"청")</f>
        <v>1</v>
      </c>
      <c r="D31" s="127">
        <f t="shared" si="5"/>
        <v>0</v>
      </c>
      <c r="E31" s="127">
        <f t="shared" si="5"/>
        <v>1</v>
      </c>
      <c r="F31" s="127">
        <f t="shared" si="5"/>
        <v>1</v>
      </c>
      <c r="G31" s="145">
        <f t="shared" si="5"/>
        <v>0</v>
      </c>
      <c r="H31" s="145">
        <f t="shared" si="5"/>
        <v>0</v>
      </c>
      <c r="I31" s="145">
        <f t="shared" si="5"/>
        <v>1</v>
      </c>
      <c r="J31" s="145">
        <f t="shared" si="5"/>
        <v>1</v>
      </c>
      <c r="K31" s="145">
        <f t="shared" si="5"/>
        <v>1</v>
      </c>
      <c r="L31" s="145">
        <f t="shared" si="5"/>
        <v>1</v>
      </c>
      <c r="M31" s="145">
        <f t="shared" si="5"/>
        <v>1</v>
      </c>
      <c r="N31" s="145">
        <f t="shared" si="5"/>
        <v>0</v>
      </c>
      <c r="O31" s="145">
        <f t="shared" si="5"/>
        <v>0</v>
      </c>
      <c r="P31" s="145">
        <f t="shared" si="5"/>
        <v>1</v>
      </c>
      <c r="Q31" s="145">
        <f t="shared" si="5"/>
        <v>1</v>
      </c>
      <c r="R31" s="145">
        <f t="shared" si="5"/>
        <v>1</v>
      </c>
      <c r="S31" s="145">
        <f t="shared" si="5"/>
        <v>1</v>
      </c>
      <c r="T31" s="145">
        <f t="shared" si="5"/>
        <v>1</v>
      </c>
      <c r="U31" s="145">
        <f t="shared" si="5"/>
        <v>0</v>
      </c>
      <c r="V31" s="145">
        <f t="shared" si="5"/>
        <v>0</v>
      </c>
      <c r="W31" s="127">
        <f t="shared" si="5"/>
        <v>1</v>
      </c>
      <c r="X31" s="127">
        <f t="shared" si="5"/>
        <v>1</v>
      </c>
      <c r="Y31" s="127">
        <f t="shared" si="5"/>
        <v>1</v>
      </c>
      <c r="Z31" s="145">
        <f t="shared" si="5"/>
        <v>1</v>
      </c>
      <c r="AA31" s="145">
        <f t="shared" si="5"/>
        <v>1</v>
      </c>
      <c r="AB31" s="145">
        <f t="shared" si="5"/>
        <v>0</v>
      </c>
      <c r="AC31" s="145">
        <f t="shared" si="5"/>
        <v>0</v>
      </c>
      <c r="AD31" s="145">
        <f t="shared" si="5"/>
        <v>1</v>
      </c>
      <c r="AE31" s="146">
        <f t="shared" si="5"/>
        <v>1</v>
      </c>
      <c r="AF31" s="157">
        <f t="shared" si="5"/>
        <v>0</v>
      </c>
      <c r="AG31" s="128"/>
      <c r="AH31" s="278">
        <f>SUM(B31:AF31)</f>
        <v>21</v>
      </c>
      <c r="AI31" s="279"/>
      <c r="AJ31" s="2"/>
      <c r="AK31" s="1"/>
      <c r="AL31" s="1"/>
    </row>
    <row r="32" spans="1:39" x14ac:dyDescent="0.3">
      <c r="A32" s="17"/>
      <c r="B32" s="17"/>
      <c r="C32" s="85"/>
      <c r="D32" s="105"/>
      <c r="E32" s="86"/>
      <c r="F32" s="106"/>
      <c r="G32" s="34"/>
      <c r="H32" s="34"/>
      <c r="I32" s="34"/>
      <c r="J32" s="34"/>
      <c r="K32" s="87"/>
      <c r="T32" s="163" t="s">
        <v>165</v>
      </c>
      <c r="AA32" s="34"/>
      <c r="AB32" s="82"/>
    </row>
    <row r="34" spans="1:24" x14ac:dyDescent="0.3">
      <c r="A34" s="17"/>
      <c r="B34" s="303" t="s">
        <v>143</v>
      </c>
      <c r="C34" s="303"/>
      <c r="D34" s="303"/>
      <c r="E34" s="304">
        <v>46176</v>
      </c>
      <c r="F34" s="304"/>
      <c r="G34" s="304"/>
      <c r="H34" s="305">
        <v>46176</v>
      </c>
      <c r="I34" s="305"/>
      <c r="J34" s="305"/>
    </row>
    <row r="35" spans="1:24" x14ac:dyDescent="0.3">
      <c r="A35" s="17"/>
      <c r="B35" s="303" t="s">
        <v>64</v>
      </c>
      <c r="C35" s="303"/>
      <c r="D35" s="303"/>
      <c r="E35" s="304">
        <v>46179</v>
      </c>
      <c r="F35" s="304"/>
      <c r="G35" s="304"/>
      <c r="H35" s="305">
        <v>46179</v>
      </c>
      <c r="I35" s="305"/>
      <c r="J35" s="305"/>
      <c r="X35" t="s">
        <v>185</v>
      </c>
    </row>
    <row r="36" spans="1:24" ht="26.25" x14ac:dyDescent="0.3">
      <c r="A36" s="17"/>
      <c r="B36" s="293"/>
      <c r="C36" s="293"/>
      <c r="D36" s="293"/>
      <c r="E36" s="294"/>
      <c r="F36" s="294"/>
      <c r="G36" s="294"/>
      <c r="H36" s="295"/>
      <c r="I36" s="295"/>
      <c r="J36" s="295"/>
      <c r="X36" s="217" t="s">
        <v>192</v>
      </c>
    </row>
    <row r="37" spans="1:24" x14ac:dyDescent="0.3">
      <c r="B37" s="293"/>
      <c r="C37" s="293"/>
      <c r="D37" s="293"/>
      <c r="E37" s="294"/>
      <c r="F37" s="294"/>
      <c r="G37" s="294"/>
      <c r="H37" s="295"/>
      <c r="I37" s="295"/>
      <c r="J37" s="295"/>
      <c r="M37" s="17"/>
      <c r="N37" s="135"/>
      <c r="O37" s="136"/>
    </row>
    <row r="38" spans="1:24" x14ac:dyDescent="0.3">
      <c r="B38" s="293"/>
      <c r="C38" s="293"/>
      <c r="D38" s="293"/>
      <c r="E38" s="294"/>
      <c r="F38" s="294"/>
      <c r="G38" s="294"/>
      <c r="H38" s="295"/>
      <c r="I38" s="295"/>
      <c r="J38" s="295"/>
      <c r="M38" s="17"/>
      <c r="N38" s="135"/>
      <c r="O38" s="136"/>
      <c r="X38" t="s">
        <v>184</v>
      </c>
    </row>
    <row r="39" spans="1:24" ht="26.25" x14ac:dyDescent="0.3">
      <c r="B39" s="293"/>
      <c r="C39" s="293"/>
      <c r="D39" s="293"/>
      <c r="E39" s="294"/>
      <c r="F39" s="294"/>
      <c r="G39" s="294"/>
      <c r="H39" s="295"/>
      <c r="I39" s="295"/>
      <c r="J39" s="295"/>
      <c r="X39" s="84" t="s">
        <v>191</v>
      </c>
    </row>
  </sheetData>
  <mergeCells count="60">
    <mergeCell ref="C28:I28"/>
    <mergeCell ref="J23:M23"/>
    <mergeCell ref="P8:S8"/>
    <mergeCell ref="W11:Z11"/>
    <mergeCell ref="AA14:AE14"/>
    <mergeCell ref="B22:AE22"/>
    <mergeCell ref="N3:N4"/>
    <mergeCell ref="A1:AI1"/>
    <mergeCell ref="A2:AI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Z3:Z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AG3:AI4"/>
    <mergeCell ref="AH31:AI31"/>
    <mergeCell ref="AA3:AA4"/>
    <mergeCell ref="AB3:AB4"/>
    <mergeCell ref="AC3:AC4"/>
    <mergeCell ref="AD3:AD4"/>
    <mergeCell ref="AE3:AE4"/>
    <mergeCell ref="AF3:AF4"/>
    <mergeCell ref="B36:D36"/>
    <mergeCell ref="E36:G36"/>
    <mergeCell ref="H36:J36"/>
    <mergeCell ref="B37:D37"/>
    <mergeCell ref="E37:G37"/>
    <mergeCell ref="H37:J37"/>
    <mergeCell ref="B38:D38"/>
    <mergeCell ref="E38:G38"/>
    <mergeCell ref="H38:J38"/>
    <mergeCell ref="B39:D39"/>
    <mergeCell ref="E39:G39"/>
    <mergeCell ref="H39:J39"/>
    <mergeCell ref="B34:D34"/>
    <mergeCell ref="E34:G34"/>
    <mergeCell ref="H34:J34"/>
    <mergeCell ref="B35:D35"/>
    <mergeCell ref="E35:G35"/>
    <mergeCell ref="H35:J35"/>
  </mergeCells>
  <phoneticPr fontId="3" type="noConversion"/>
  <conditionalFormatting sqref="B3:AE7 B8:P8 T8:AE8 B9:AE10 B11:W11 AA11:AE11 B12:AE13 B14:AA14 B15:AE21 B22 B23:J23 N23:AE23 B24:AE27 B28:C28 J28:AE28 B29:AE31">
    <cfRule type="expression" dxfId="6" priority="1">
      <formula>OR(WEEKDAY(B$3,1)=7,WEEKDAY(B$3,1)=1,B$3=$E$34:$G$35)</formula>
    </cfRule>
  </conditionalFormatting>
  <pageMargins left="0.25" right="0.25" top="0.75" bottom="0.75" header="0.3" footer="0.3"/>
  <pageSetup paperSize="9" scale="7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84BE-ACE6-4699-8DC0-FDE0BBE81715}">
  <sheetPr>
    <pageSetUpPr fitToPage="1"/>
  </sheetPr>
  <dimension ref="A1:AM39"/>
  <sheetViews>
    <sheetView tabSelected="1" workbookViewId="0">
      <pane ySplit="5" topLeftCell="A13" activePane="bottomLeft" state="frozen"/>
      <selection pane="bottomLeft" activeCell="AQ27" sqref="AQ27"/>
    </sheetView>
  </sheetViews>
  <sheetFormatPr defaultRowHeight="16.5" x14ac:dyDescent="0.3"/>
  <cols>
    <col min="1" max="1" width="9.125" bestFit="1" customWidth="1"/>
    <col min="2" max="31" width="3.75" customWidth="1"/>
    <col min="32" max="32" width="3.25" customWidth="1"/>
    <col min="33" max="35" width="3.75" customWidth="1"/>
    <col min="36" max="36" width="12.5" hidden="1" customWidth="1"/>
    <col min="37" max="38" width="11.25" hidden="1" customWidth="1"/>
    <col min="39" max="39" width="10.375" hidden="1" customWidth="1"/>
  </cols>
  <sheetData>
    <row r="1" spans="1:39" x14ac:dyDescent="0.3">
      <c r="A1" s="264" t="s">
        <v>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164"/>
      <c r="AK1" s="1"/>
      <c r="AL1" s="1"/>
    </row>
    <row r="2" spans="1:39" ht="17.25" thickBot="1" x14ac:dyDescent="0.35">
      <c r="A2" s="266" t="s">
        <v>166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165"/>
      <c r="AK2" s="1"/>
      <c r="AL2" s="1"/>
    </row>
    <row r="3" spans="1:39" x14ac:dyDescent="0.3">
      <c r="A3" s="268" t="s">
        <v>1</v>
      </c>
      <c r="B3" s="311">
        <v>46204</v>
      </c>
      <c r="C3" s="309">
        <v>46205</v>
      </c>
      <c r="D3" s="309">
        <v>46206</v>
      </c>
      <c r="E3" s="309">
        <v>46207</v>
      </c>
      <c r="F3" s="309">
        <v>46208</v>
      </c>
      <c r="G3" s="309">
        <v>46209</v>
      </c>
      <c r="H3" s="309">
        <v>46210</v>
      </c>
      <c r="I3" s="309">
        <v>46211</v>
      </c>
      <c r="J3" s="309">
        <v>46212</v>
      </c>
      <c r="K3" s="309">
        <v>46213</v>
      </c>
      <c r="L3" s="309">
        <v>46214</v>
      </c>
      <c r="M3" s="309">
        <v>46215</v>
      </c>
      <c r="N3" s="309">
        <v>46216</v>
      </c>
      <c r="O3" s="309">
        <v>46217</v>
      </c>
      <c r="P3" s="309">
        <v>46218</v>
      </c>
      <c r="Q3" s="309">
        <v>46219</v>
      </c>
      <c r="R3" s="309">
        <v>46220</v>
      </c>
      <c r="S3" s="309">
        <v>46221</v>
      </c>
      <c r="T3" s="309">
        <v>46222</v>
      </c>
      <c r="U3" s="309">
        <v>46223</v>
      </c>
      <c r="V3" s="309">
        <v>46224</v>
      </c>
      <c r="W3" s="309">
        <v>46225</v>
      </c>
      <c r="X3" s="309">
        <v>46226</v>
      </c>
      <c r="Y3" s="309">
        <v>46227</v>
      </c>
      <c r="Z3" s="309">
        <v>46228</v>
      </c>
      <c r="AA3" s="309">
        <v>46229</v>
      </c>
      <c r="AB3" s="309">
        <v>46230</v>
      </c>
      <c r="AC3" s="309">
        <v>46231</v>
      </c>
      <c r="AD3" s="309">
        <v>46232</v>
      </c>
      <c r="AE3" s="309">
        <v>46233</v>
      </c>
      <c r="AF3" s="313">
        <v>46234</v>
      </c>
      <c r="AG3" s="296" t="s">
        <v>2</v>
      </c>
      <c r="AH3" s="285"/>
      <c r="AI3" s="286"/>
      <c r="AJ3" s="2"/>
      <c r="AK3" s="1"/>
      <c r="AL3" s="1"/>
    </row>
    <row r="4" spans="1:39" x14ac:dyDescent="0.3">
      <c r="A4" s="269"/>
      <c r="B4" s="312"/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10"/>
      <c r="Z4" s="310"/>
      <c r="AA4" s="310"/>
      <c r="AB4" s="310"/>
      <c r="AC4" s="310"/>
      <c r="AD4" s="310"/>
      <c r="AE4" s="310"/>
      <c r="AF4" s="314"/>
      <c r="AG4" s="297"/>
      <c r="AH4" s="255"/>
      <c r="AI4" s="287"/>
      <c r="AJ4" s="2"/>
      <c r="AK4" s="1"/>
      <c r="AL4" s="1"/>
    </row>
    <row r="5" spans="1:39" ht="17.25" thickBot="1" x14ac:dyDescent="0.35">
      <c r="A5" s="66" t="s">
        <v>3</v>
      </c>
      <c r="B5" s="116">
        <v>46204</v>
      </c>
      <c r="C5" s="43">
        <v>46205</v>
      </c>
      <c r="D5" s="43">
        <v>46206</v>
      </c>
      <c r="E5" s="43">
        <v>46207</v>
      </c>
      <c r="F5" s="43">
        <v>46208</v>
      </c>
      <c r="G5" s="43">
        <v>46209</v>
      </c>
      <c r="H5" s="43">
        <v>46210</v>
      </c>
      <c r="I5" s="43">
        <v>46211</v>
      </c>
      <c r="J5" s="43">
        <v>46212</v>
      </c>
      <c r="K5" s="43">
        <v>46213</v>
      </c>
      <c r="L5" s="43">
        <v>46214</v>
      </c>
      <c r="M5" s="43">
        <v>46215</v>
      </c>
      <c r="N5" s="43">
        <v>46216</v>
      </c>
      <c r="O5" s="43">
        <v>46217</v>
      </c>
      <c r="P5" s="43">
        <v>46218</v>
      </c>
      <c r="Q5" s="43">
        <v>46219</v>
      </c>
      <c r="R5" s="43">
        <v>46220</v>
      </c>
      <c r="S5" s="43">
        <v>46221</v>
      </c>
      <c r="T5" s="43">
        <v>46222</v>
      </c>
      <c r="U5" s="43">
        <v>46223</v>
      </c>
      <c r="V5" s="43">
        <v>46224</v>
      </c>
      <c r="W5" s="43">
        <v>46225</v>
      </c>
      <c r="X5" s="43">
        <v>46226</v>
      </c>
      <c r="Y5" s="43">
        <v>46227</v>
      </c>
      <c r="Z5" s="43">
        <v>46228</v>
      </c>
      <c r="AA5" s="43">
        <v>46229</v>
      </c>
      <c r="AB5" s="43">
        <v>46230</v>
      </c>
      <c r="AC5" s="43">
        <v>46231</v>
      </c>
      <c r="AD5" s="43">
        <v>46232</v>
      </c>
      <c r="AE5" s="43">
        <v>46233</v>
      </c>
      <c r="AF5" s="152">
        <v>46234</v>
      </c>
      <c r="AG5" s="169" t="s">
        <v>4</v>
      </c>
      <c r="AH5" s="166" t="s">
        <v>10</v>
      </c>
      <c r="AI5" s="168" t="s">
        <v>6</v>
      </c>
      <c r="AJ5" s="114" t="s">
        <v>7</v>
      </c>
      <c r="AK5" s="6" t="s">
        <v>8</v>
      </c>
      <c r="AL5" s="6" t="s">
        <v>9</v>
      </c>
    </row>
    <row r="6" spans="1:39" ht="17.25" thickTop="1" x14ac:dyDescent="0.3">
      <c r="A6" s="19">
        <v>101</v>
      </c>
      <c r="B6" s="118" t="s">
        <v>10</v>
      </c>
      <c r="C6" s="18"/>
      <c r="D6" s="18"/>
      <c r="E6" s="18"/>
      <c r="F6" s="18"/>
      <c r="G6" s="18"/>
      <c r="H6" s="18"/>
      <c r="I6" s="18" t="s">
        <v>5</v>
      </c>
      <c r="J6" s="42"/>
      <c r="K6" s="42"/>
      <c r="L6" s="42"/>
      <c r="M6" s="42"/>
      <c r="N6" s="18"/>
      <c r="O6" s="288" t="s">
        <v>128</v>
      </c>
      <c r="P6" s="289"/>
      <c r="Q6" s="289"/>
      <c r="R6" s="289"/>
      <c r="S6" s="289"/>
      <c r="T6" s="289"/>
      <c r="U6" s="290"/>
      <c r="V6" s="18" t="s">
        <v>13</v>
      </c>
      <c r="W6" s="18"/>
      <c r="X6" s="18"/>
      <c r="Y6" s="18"/>
      <c r="Z6" s="18"/>
      <c r="AA6" s="18" t="s">
        <v>10</v>
      </c>
      <c r="AB6" s="18"/>
      <c r="AC6" s="18"/>
      <c r="AD6" s="18"/>
      <c r="AE6" s="18"/>
      <c r="AF6" s="151"/>
      <c r="AG6" s="169">
        <f>COUNTIF(B6:AF6,"청")</f>
        <v>1</v>
      </c>
      <c r="AH6" s="9">
        <f>COUNTIF(B6:AF6,"7D")</f>
        <v>3</v>
      </c>
      <c r="AI6" s="122">
        <v>0</v>
      </c>
      <c r="AJ6" s="115">
        <f>'2026.6.'!AL6</f>
        <v>46242</v>
      </c>
      <c r="AK6" s="8">
        <f>IFERROR(INDEX($B$3:$AF$5,1,MATCH("청",B6:AF6,0)),"")</f>
        <v>46224</v>
      </c>
      <c r="AL6" s="8">
        <f>IFERROR(AK6+40,"")</f>
        <v>46264</v>
      </c>
      <c r="AM6" s="81"/>
    </row>
    <row r="7" spans="1:39" x14ac:dyDescent="0.3">
      <c r="A7" s="10">
        <v>102</v>
      </c>
      <c r="B7" s="120"/>
      <c r="C7" s="170"/>
      <c r="D7" s="170"/>
      <c r="E7" s="170"/>
      <c r="F7" s="193" t="s">
        <v>5</v>
      </c>
      <c r="G7" s="170"/>
      <c r="H7" s="170"/>
      <c r="I7" s="170"/>
      <c r="J7" s="170"/>
      <c r="K7" s="170"/>
      <c r="L7" s="170"/>
      <c r="M7" s="193" t="s">
        <v>5</v>
      </c>
      <c r="N7" s="170"/>
      <c r="O7" s="170"/>
      <c r="P7" s="170"/>
      <c r="Q7" s="170"/>
      <c r="R7" s="170"/>
      <c r="S7" s="170"/>
      <c r="T7" s="193" t="s">
        <v>5</v>
      </c>
      <c r="U7" s="170" t="s">
        <v>13</v>
      </c>
      <c r="V7" s="170"/>
      <c r="W7" s="35"/>
      <c r="X7" s="35"/>
      <c r="Y7" s="35"/>
      <c r="Z7" s="35"/>
      <c r="AA7" s="35" t="s">
        <v>5</v>
      </c>
      <c r="AB7" s="35"/>
      <c r="AC7" s="170"/>
      <c r="AD7" s="170"/>
      <c r="AE7" s="170"/>
      <c r="AF7" s="149"/>
      <c r="AG7" s="45">
        <f t="shared" ref="AG7:AG28" si="0">COUNTIF(B7:AF7,"청")</f>
        <v>1</v>
      </c>
      <c r="AH7" s="44">
        <f t="shared" ref="AH7:AH28" si="1">COUNTIF(B7:AF7,"7D")</f>
        <v>4</v>
      </c>
      <c r="AI7" s="121">
        <v>0</v>
      </c>
      <c r="AJ7" s="115">
        <f>'2026.6.'!AL7</f>
        <v>46223</v>
      </c>
      <c r="AK7" s="8">
        <f t="shared" ref="AK7:AK28" si="2">IFERROR(INDEX($B$3:$AF$5,1,MATCH("청",B7:AF7,0)),"")</f>
        <v>46223</v>
      </c>
      <c r="AL7" s="8">
        <f t="shared" ref="AL7:AL28" si="3">IFERROR(AK7+40,"")</f>
        <v>46263</v>
      </c>
      <c r="AM7" s="81"/>
    </row>
    <row r="8" spans="1:39" x14ac:dyDescent="0.3">
      <c r="A8" s="10">
        <v>103</v>
      </c>
      <c r="B8" s="120"/>
      <c r="C8" s="35"/>
      <c r="D8" s="35" t="s">
        <v>5</v>
      </c>
      <c r="E8" s="35"/>
      <c r="F8" s="35"/>
      <c r="G8" s="170"/>
      <c r="H8" s="170"/>
      <c r="I8" s="170"/>
      <c r="J8" s="170"/>
      <c r="K8" s="193" t="s">
        <v>5</v>
      </c>
      <c r="L8" s="170"/>
      <c r="M8" s="170"/>
      <c r="N8" s="170"/>
      <c r="O8" s="170"/>
      <c r="P8" s="35"/>
      <c r="Q8" s="35"/>
      <c r="R8" s="35" t="s">
        <v>5</v>
      </c>
      <c r="S8" s="35"/>
      <c r="T8" s="170"/>
      <c r="U8" s="170"/>
      <c r="V8" s="170"/>
      <c r="W8" s="170" t="s">
        <v>13</v>
      </c>
      <c r="X8" s="170"/>
      <c r="Y8" s="193" t="s">
        <v>5</v>
      </c>
      <c r="Z8" s="170"/>
      <c r="AA8" s="170"/>
      <c r="AB8" s="170"/>
      <c r="AC8" s="170"/>
      <c r="AD8" s="170"/>
      <c r="AE8" s="170"/>
      <c r="AF8" s="149" t="s">
        <v>5</v>
      </c>
      <c r="AG8" s="169">
        <f t="shared" si="0"/>
        <v>1</v>
      </c>
      <c r="AH8" s="9">
        <f t="shared" si="1"/>
        <v>5</v>
      </c>
      <c r="AI8" s="122">
        <v>0</v>
      </c>
      <c r="AJ8" s="115">
        <f>'2026.6.'!AL8</f>
        <v>46232</v>
      </c>
      <c r="AK8" s="8">
        <f t="shared" si="2"/>
        <v>46225</v>
      </c>
      <c r="AL8" s="8">
        <f t="shared" si="3"/>
        <v>46265</v>
      </c>
      <c r="AM8" s="81"/>
    </row>
    <row r="9" spans="1:39" x14ac:dyDescent="0.3">
      <c r="A9" s="10">
        <v>104</v>
      </c>
      <c r="B9" s="120" t="s">
        <v>5</v>
      </c>
      <c r="C9" s="170"/>
      <c r="D9" s="170" t="s">
        <v>13</v>
      </c>
      <c r="E9" s="170"/>
      <c r="F9" s="170"/>
      <c r="G9" s="170"/>
      <c r="H9" s="193" t="s">
        <v>5</v>
      </c>
      <c r="I9" s="170"/>
      <c r="J9" s="170"/>
      <c r="K9" s="170"/>
      <c r="L9" s="170"/>
      <c r="M9" s="170"/>
      <c r="N9" s="35"/>
      <c r="O9" s="35" t="s">
        <v>5</v>
      </c>
      <c r="P9" s="35"/>
      <c r="Q9" s="35"/>
      <c r="R9" s="35"/>
      <c r="S9" s="35"/>
      <c r="T9" s="170"/>
      <c r="U9" s="35"/>
      <c r="V9" s="254" t="s">
        <v>81</v>
      </c>
      <c r="W9" s="254"/>
      <c r="X9" s="254"/>
      <c r="Y9" s="249"/>
      <c r="Z9" s="170"/>
      <c r="AA9" s="170"/>
      <c r="AB9" s="170" t="s">
        <v>13</v>
      </c>
      <c r="AC9" s="170"/>
      <c r="AD9" s="170"/>
      <c r="AE9" s="193" t="s">
        <v>5</v>
      </c>
      <c r="AF9" s="149"/>
      <c r="AG9" s="190">
        <f t="shared" si="0"/>
        <v>2</v>
      </c>
      <c r="AH9" s="9">
        <f t="shared" si="1"/>
        <v>4</v>
      </c>
      <c r="AI9" s="122">
        <v>0</v>
      </c>
      <c r="AJ9" s="115">
        <f>'2026.6.'!AL9</f>
        <v>46214</v>
      </c>
      <c r="AK9" s="12">
        <v>45865</v>
      </c>
      <c r="AL9" s="8">
        <f t="shared" si="3"/>
        <v>45905</v>
      </c>
    </row>
    <row r="10" spans="1:39" x14ac:dyDescent="0.3">
      <c r="A10" s="10">
        <v>105</v>
      </c>
      <c r="B10" s="120"/>
      <c r="C10" s="170"/>
      <c r="D10" s="170"/>
      <c r="E10" s="170"/>
      <c r="F10" s="170"/>
      <c r="G10" s="193" t="s">
        <v>5</v>
      </c>
      <c r="H10" s="170"/>
      <c r="I10" s="170"/>
      <c r="J10" s="170"/>
      <c r="K10" s="170"/>
      <c r="L10" s="170"/>
      <c r="M10" s="170"/>
      <c r="N10" s="193" t="s">
        <v>5</v>
      </c>
      <c r="O10" s="170"/>
      <c r="P10" s="170"/>
      <c r="Q10" s="170"/>
      <c r="R10" s="170"/>
      <c r="S10" s="170"/>
      <c r="T10" s="170"/>
      <c r="U10" s="193" t="s">
        <v>5</v>
      </c>
      <c r="V10" s="170"/>
      <c r="W10" s="170"/>
      <c r="X10" s="170" t="s">
        <v>13</v>
      </c>
      <c r="Y10" s="170"/>
      <c r="Z10" s="170"/>
      <c r="AA10" s="170"/>
      <c r="AB10" s="193" t="s">
        <v>5</v>
      </c>
      <c r="AC10" s="35"/>
      <c r="AD10" s="35"/>
      <c r="AE10" s="35"/>
      <c r="AF10" s="149"/>
      <c r="AG10" s="169">
        <f t="shared" si="0"/>
        <v>1</v>
      </c>
      <c r="AH10" s="9">
        <f t="shared" si="1"/>
        <v>4</v>
      </c>
      <c r="AI10" s="122">
        <v>0</v>
      </c>
      <c r="AJ10" s="115">
        <f>'2026.6.'!AL10</f>
        <v>46229</v>
      </c>
      <c r="AK10" s="8">
        <f t="shared" si="2"/>
        <v>46226</v>
      </c>
      <c r="AL10" s="8">
        <f t="shared" si="3"/>
        <v>46266</v>
      </c>
      <c r="AM10" s="80"/>
    </row>
    <row r="11" spans="1:39" x14ac:dyDescent="0.3">
      <c r="A11" s="10">
        <v>106</v>
      </c>
      <c r="B11" s="137"/>
      <c r="C11" s="35"/>
      <c r="D11" s="35" t="s">
        <v>5</v>
      </c>
      <c r="E11" s="35"/>
      <c r="F11" s="35"/>
      <c r="G11" s="35"/>
      <c r="H11" s="35"/>
      <c r="I11" s="35"/>
      <c r="J11" s="35"/>
      <c r="K11" s="35" t="s">
        <v>5</v>
      </c>
      <c r="L11" s="35"/>
      <c r="M11" s="170"/>
      <c r="N11" s="170"/>
      <c r="O11" s="170"/>
      <c r="P11" s="170"/>
      <c r="Q11" s="170"/>
      <c r="R11" s="193" t="s">
        <v>5</v>
      </c>
      <c r="S11" s="170"/>
      <c r="T11" s="170"/>
      <c r="U11" s="170"/>
      <c r="V11" s="170"/>
      <c r="W11" s="35"/>
      <c r="X11" s="35"/>
      <c r="Y11" s="35" t="s">
        <v>5</v>
      </c>
      <c r="Z11" s="35"/>
      <c r="AA11" s="170"/>
      <c r="AB11" s="170"/>
      <c r="AC11" s="170"/>
      <c r="AD11" s="170" t="s">
        <v>13</v>
      </c>
      <c r="AE11" s="170"/>
      <c r="AF11" s="149" t="s">
        <v>5</v>
      </c>
      <c r="AG11" s="169">
        <f t="shared" si="0"/>
        <v>1</v>
      </c>
      <c r="AH11" s="9">
        <f t="shared" si="1"/>
        <v>5</v>
      </c>
      <c r="AI11" s="122">
        <v>0</v>
      </c>
      <c r="AJ11" s="115">
        <f>'2026.6.'!AL11</f>
        <v>46239</v>
      </c>
      <c r="AK11" s="8">
        <f t="shared" si="2"/>
        <v>46232</v>
      </c>
      <c r="AL11" s="8">
        <f t="shared" si="3"/>
        <v>46272</v>
      </c>
    </row>
    <row r="12" spans="1:39" x14ac:dyDescent="0.3">
      <c r="A12" s="10">
        <v>107</v>
      </c>
      <c r="B12" s="120"/>
      <c r="C12" s="170"/>
      <c r="D12" s="170"/>
      <c r="E12" s="170"/>
      <c r="F12" s="193" t="s">
        <v>5</v>
      </c>
      <c r="G12" s="170"/>
      <c r="H12" s="170"/>
      <c r="I12" s="170"/>
      <c r="J12" s="170"/>
      <c r="K12" s="35" t="s">
        <v>13</v>
      </c>
      <c r="L12" s="35"/>
      <c r="M12" s="35" t="s">
        <v>5</v>
      </c>
      <c r="N12" s="35"/>
      <c r="O12" s="35"/>
      <c r="P12" s="35"/>
      <c r="Q12" s="35"/>
      <c r="R12" s="35"/>
      <c r="S12" s="35"/>
      <c r="T12" s="35" t="s">
        <v>5</v>
      </c>
      <c r="U12" s="35"/>
      <c r="V12" s="35"/>
      <c r="W12" s="35"/>
      <c r="X12" s="35"/>
      <c r="Y12" s="35"/>
      <c r="Z12" s="35" t="s">
        <v>10</v>
      </c>
      <c r="AA12" s="35"/>
      <c r="AB12" s="35"/>
      <c r="AC12" s="35"/>
      <c r="AD12" s="170"/>
      <c r="AE12" s="74"/>
      <c r="AF12" s="238">
        <v>107</v>
      </c>
      <c r="AG12" s="169">
        <f t="shared" si="0"/>
        <v>1</v>
      </c>
      <c r="AH12" s="9">
        <f t="shared" si="1"/>
        <v>4</v>
      </c>
      <c r="AI12" s="122">
        <v>0</v>
      </c>
      <c r="AJ12" s="115">
        <f>'2026.6.'!AL12</f>
        <v>46224</v>
      </c>
      <c r="AK12" s="8">
        <f t="shared" si="2"/>
        <v>46213</v>
      </c>
      <c r="AL12" s="8">
        <f t="shared" si="3"/>
        <v>46253</v>
      </c>
      <c r="AM12" s="81"/>
    </row>
    <row r="13" spans="1:39" x14ac:dyDescent="0.3">
      <c r="A13" s="10">
        <v>108</v>
      </c>
      <c r="B13" s="120" t="s">
        <v>13</v>
      </c>
      <c r="C13" s="193" t="s">
        <v>5</v>
      </c>
      <c r="D13" s="170"/>
      <c r="E13" s="170"/>
      <c r="F13" s="170"/>
      <c r="G13" s="170"/>
      <c r="H13" s="170"/>
      <c r="I13" s="170"/>
      <c r="J13" s="193" t="s">
        <v>5</v>
      </c>
      <c r="K13" s="170"/>
      <c r="L13" s="170"/>
      <c r="M13" s="170"/>
      <c r="N13" s="170"/>
      <c r="O13" s="170"/>
      <c r="P13" s="170"/>
      <c r="Q13" s="193" t="s">
        <v>5</v>
      </c>
      <c r="R13" s="170"/>
      <c r="S13" s="170"/>
      <c r="T13" s="170"/>
      <c r="U13" s="170"/>
      <c r="V13" s="170"/>
      <c r="W13" s="170"/>
      <c r="X13" s="193" t="s">
        <v>5</v>
      </c>
      <c r="Y13" s="170"/>
      <c r="Z13" s="170"/>
      <c r="AA13" s="170"/>
      <c r="AB13" s="170"/>
      <c r="AC13" s="170"/>
      <c r="AD13" s="170"/>
      <c r="AE13" s="193" t="s">
        <v>5</v>
      </c>
      <c r="AF13" s="149"/>
      <c r="AG13" s="169">
        <f t="shared" si="0"/>
        <v>1</v>
      </c>
      <c r="AH13" s="9">
        <f t="shared" si="1"/>
        <v>5</v>
      </c>
      <c r="AI13" s="122">
        <v>0</v>
      </c>
      <c r="AJ13" s="115">
        <f>'2026.6.'!AL13</f>
        <v>46209</v>
      </c>
      <c r="AK13" s="8">
        <f t="shared" si="2"/>
        <v>46204</v>
      </c>
      <c r="AL13" s="8">
        <f t="shared" si="3"/>
        <v>46244</v>
      </c>
      <c r="AM13" s="80"/>
    </row>
    <row r="14" spans="1:39" x14ac:dyDescent="0.3">
      <c r="A14" s="10">
        <v>109</v>
      </c>
      <c r="B14" s="130"/>
      <c r="C14" s="170" t="s">
        <v>13</v>
      </c>
      <c r="D14" s="170"/>
      <c r="E14" s="170"/>
      <c r="F14" s="170"/>
      <c r="G14" s="170"/>
      <c r="H14" s="170"/>
      <c r="I14" s="193" t="s">
        <v>5</v>
      </c>
      <c r="J14" s="170"/>
      <c r="K14" s="170"/>
      <c r="L14" s="170"/>
      <c r="M14" s="35"/>
      <c r="N14" s="35"/>
      <c r="O14" s="35"/>
      <c r="P14" s="35" t="s">
        <v>5</v>
      </c>
      <c r="Q14" s="35"/>
      <c r="R14" s="35"/>
      <c r="S14" s="35"/>
      <c r="T14" s="35"/>
      <c r="U14" s="35"/>
      <c r="V14" s="170"/>
      <c r="W14" s="193" t="s">
        <v>5</v>
      </c>
      <c r="X14" s="170"/>
      <c r="Y14" s="170"/>
      <c r="Z14" s="170"/>
      <c r="AA14" s="35"/>
      <c r="AB14" s="35"/>
      <c r="AC14" s="35"/>
      <c r="AD14" s="35" t="s">
        <v>5</v>
      </c>
      <c r="AE14" s="35"/>
      <c r="AF14" s="149"/>
      <c r="AG14" s="169">
        <f t="shared" si="0"/>
        <v>1</v>
      </c>
      <c r="AH14" s="9">
        <f t="shared" si="1"/>
        <v>4</v>
      </c>
      <c r="AI14" s="122">
        <v>0</v>
      </c>
      <c r="AJ14" s="115">
        <f>'2026.6.'!AL14</f>
        <v>46221</v>
      </c>
      <c r="AK14" s="8">
        <f t="shared" si="2"/>
        <v>46205</v>
      </c>
      <c r="AL14" s="8">
        <f t="shared" si="3"/>
        <v>46245</v>
      </c>
    </row>
    <row r="15" spans="1:39" x14ac:dyDescent="0.3">
      <c r="A15" s="10">
        <v>110</v>
      </c>
      <c r="B15" s="137"/>
      <c r="C15" s="35" t="s">
        <v>5</v>
      </c>
      <c r="D15" s="35"/>
      <c r="E15" s="35"/>
      <c r="F15" s="170"/>
      <c r="G15" s="170" t="s">
        <v>13</v>
      </c>
      <c r="H15" s="170"/>
      <c r="I15" s="170"/>
      <c r="J15" s="193" t="s">
        <v>5</v>
      </c>
      <c r="K15" s="35"/>
      <c r="L15" s="35"/>
      <c r="M15" s="35"/>
      <c r="N15" s="35"/>
      <c r="O15" s="35"/>
      <c r="P15" s="35"/>
      <c r="Q15" s="193" t="s">
        <v>5</v>
      </c>
      <c r="R15" s="170"/>
      <c r="S15" s="170"/>
      <c r="T15" s="170"/>
      <c r="U15" s="170"/>
      <c r="V15" s="170"/>
      <c r="W15" s="170"/>
      <c r="X15" s="193" t="s">
        <v>5</v>
      </c>
      <c r="Y15" s="170"/>
      <c r="Z15" s="170"/>
      <c r="AA15" s="170"/>
      <c r="AB15" s="170"/>
      <c r="AC15" s="170"/>
      <c r="AD15" s="170"/>
      <c r="AE15" s="193" t="s">
        <v>5</v>
      </c>
      <c r="AF15" s="149"/>
      <c r="AG15" s="169">
        <f t="shared" si="0"/>
        <v>1</v>
      </c>
      <c r="AH15" s="9">
        <f t="shared" si="1"/>
        <v>5</v>
      </c>
      <c r="AI15" s="122">
        <v>0</v>
      </c>
      <c r="AJ15" s="115">
        <f>'2026.6.'!AL15</f>
        <v>46211</v>
      </c>
      <c r="AK15" s="8">
        <f t="shared" si="2"/>
        <v>46209</v>
      </c>
      <c r="AL15" s="8">
        <f t="shared" si="3"/>
        <v>46249</v>
      </c>
    </row>
    <row r="16" spans="1:39" x14ac:dyDescent="0.3">
      <c r="A16" s="10">
        <v>111</v>
      </c>
      <c r="B16" s="120"/>
      <c r="C16" s="170"/>
      <c r="D16" s="193" t="s">
        <v>5</v>
      </c>
      <c r="E16" s="170"/>
      <c r="F16" s="170"/>
      <c r="G16" s="170"/>
      <c r="H16" s="170"/>
      <c r="I16" s="170"/>
      <c r="J16" s="170"/>
      <c r="K16" s="193" t="s">
        <v>5</v>
      </c>
      <c r="L16" s="170"/>
      <c r="M16" s="170"/>
      <c r="N16" s="170"/>
      <c r="O16" s="170"/>
      <c r="P16" s="170"/>
      <c r="Q16" s="170"/>
      <c r="R16" s="193" t="s">
        <v>5</v>
      </c>
      <c r="S16" s="170"/>
      <c r="T16" s="170"/>
      <c r="U16" s="170"/>
      <c r="V16" s="35"/>
      <c r="W16" s="35"/>
      <c r="X16" s="35"/>
      <c r="Y16" s="35" t="s">
        <v>5</v>
      </c>
      <c r="Z16" s="35"/>
      <c r="AA16" s="35"/>
      <c r="AB16" s="170"/>
      <c r="AC16" s="170" t="s">
        <v>13</v>
      </c>
      <c r="AD16" s="170"/>
      <c r="AE16" s="170"/>
      <c r="AF16" s="149" t="s">
        <v>5</v>
      </c>
      <c r="AG16" s="169">
        <f t="shared" si="0"/>
        <v>1</v>
      </c>
      <c r="AH16" s="9">
        <f t="shared" si="1"/>
        <v>5</v>
      </c>
      <c r="AI16" s="122">
        <v>0</v>
      </c>
      <c r="AJ16" s="115">
        <f>'2026.6.'!AL16</f>
        <v>46238</v>
      </c>
      <c r="AK16" s="8">
        <f t="shared" si="2"/>
        <v>46231</v>
      </c>
      <c r="AL16" s="8">
        <f t="shared" si="3"/>
        <v>46271</v>
      </c>
    </row>
    <row r="17" spans="1:39" x14ac:dyDescent="0.3">
      <c r="A17" s="10">
        <v>112</v>
      </c>
      <c r="B17" s="120"/>
      <c r="C17" s="253" t="s">
        <v>86</v>
      </c>
      <c r="D17" s="254"/>
      <c r="E17" s="254"/>
      <c r="F17" s="254"/>
      <c r="G17" s="254"/>
      <c r="H17" s="249"/>
      <c r="I17" s="170" t="s">
        <v>13</v>
      </c>
      <c r="J17" s="170"/>
      <c r="K17" s="170"/>
      <c r="L17" s="170"/>
      <c r="M17" s="170"/>
      <c r="N17" s="170"/>
      <c r="O17" s="170"/>
      <c r="P17" s="193" t="s">
        <v>5</v>
      </c>
      <c r="Q17" s="170"/>
      <c r="R17" s="170"/>
      <c r="S17" s="170"/>
      <c r="T17" s="170"/>
      <c r="U17" s="170"/>
      <c r="V17" s="170"/>
      <c r="W17" s="193" t="s">
        <v>5</v>
      </c>
      <c r="X17" s="35"/>
      <c r="Y17" s="35"/>
      <c r="Z17" s="35"/>
      <c r="AA17" s="35"/>
      <c r="AB17" s="170"/>
      <c r="AC17" s="193" t="s">
        <v>5</v>
      </c>
      <c r="AD17" s="170"/>
      <c r="AE17" s="170"/>
      <c r="AF17" s="149"/>
      <c r="AG17" s="169">
        <f t="shared" si="0"/>
        <v>1</v>
      </c>
      <c r="AH17" s="9">
        <f t="shared" si="1"/>
        <v>3</v>
      </c>
      <c r="AI17" s="122">
        <v>0</v>
      </c>
      <c r="AJ17" s="115">
        <f>'2026.6.'!AL17</f>
        <v>46231</v>
      </c>
      <c r="AK17" s="8">
        <f t="shared" si="2"/>
        <v>46211</v>
      </c>
      <c r="AL17" s="8">
        <f t="shared" si="3"/>
        <v>46251</v>
      </c>
      <c r="AM17" s="81"/>
    </row>
    <row r="18" spans="1:39" x14ac:dyDescent="0.3">
      <c r="A18" s="10">
        <v>113</v>
      </c>
      <c r="B18" s="120"/>
      <c r="C18" s="193" t="s">
        <v>5</v>
      </c>
      <c r="D18" s="170"/>
      <c r="E18" s="170"/>
      <c r="F18" s="35"/>
      <c r="G18" s="35"/>
      <c r="H18" s="35"/>
      <c r="I18" s="35"/>
      <c r="J18" s="35" t="s">
        <v>5</v>
      </c>
      <c r="K18" s="35"/>
      <c r="L18" s="170"/>
      <c r="M18" s="170"/>
      <c r="N18" s="170"/>
      <c r="O18" s="170"/>
      <c r="P18" s="170"/>
      <c r="Q18" s="193" t="s">
        <v>5</v>
      </c>
      <c r="R18" s="170"/>
      <c r="S18" s="170"/>
      <c r="T18" s="170"/>
      <c r="U18" s="170"/>
      <c r="V18" s="170"/>
      <c r="W18" s="170"/>
      <c r="X18" s="193" t="s">
        <v>5</v>
      </c>
      <c r="Y18" s="170"/>
      <c r="Z18" s="170"/>
      <c r="AA18" s="170"/>
      <c r="AB18" s="170"/>
      <c r="AC18" s="170"/>
      <c r="AD18" s="193" t="s">
        <v>5</v>
      </c>
      <c r="AE18" s="170" t="s">
        <v>13</v>
      </c>
      <c r="AF18" s="149"/>
      <c r="AG18" s="169">
        <f t="shared" si="0"/>
        <v>1</v>
      </c>
      <c r="AH18" s="9">
        <f t="shared" si="1"/>
        <v>5</v>
      </c>
      <c r="AI18" s="122">
        <v>0</v>
      </c>
      <c r="AJ18" s="115">
        <f>'2026.6.'!AL18</f>
        <v>46236</v>
      </c>
      <c r="AK18" s="8">
        <f t="shared" si="2"/>
        <v>46233</v>
      </c>
      <c r="AL18" s="8">
        <f t="shared" si="3"/>
        <v>46273</v>
      </c>
    </row>
    <row r="19" spans="1:39" x14ac:dyDescent="0.3">
      <c r="A19" s="10">
        <v>114</v>
      </c>
      <c r="B19" s="140"/>
      <c r="C19" s="138"/>
      <c r="D19" s="138"/>
      <c r="E19" s="138"/>
      <c r="F19" s="170"/>
      <c r="G19" s="193" t="s">
        <v>5</v>
      </c>
      <c r="H19" s="170" t="s">
        <v>13</v>
      </c>
      <c r="I19" s="170"/>
      <c r="J19" s="170"/>
      <c r="K19" s="170"/>
      <c r="L19" s="170"/>
      <c r="M19" s="170"/>
      <c r="N19" s="193" t="s">
        <v>5</v>
      </c>
      <c r="O19" s="170"/>
      <c r="P19" s="170"/>
      <c r="Q19" s="170"/>
      <c r="R19" s="170"/>
      <c r="S19" s="170"/>
      <c r="T19" s="170"/>
      <c r="U19" s="193" t="s">
        <v>5</v>
      </c>
      <c r="V19" s="170"/>
      <c r="W19" s="170"/>
      <c r="X19" s="170"/>
      <c r="Y19" s="170"/>
      <c r="Z19" s="170"/>
      <c r="AA19" s="170"/>
      <c r="AB19" s="193" t="s">
        <v>5</v>
      </c>
      <c r="AC19" s="170"/>
      <c r="AD19" s="35"/>
      <c r="AE19" s="35"/>
      <c r="AF19" s="150"/>
      <c r="AG19" s="169">
        <f t="shared" si="0"/>
        <v>1</v>
      </c>
      <c r="AH19" s="9">
        <f t="shared" si="1"/>
        <v>4</v>
      </c>
      <c r="AI19" s="122">
        <v>0</v>
      </c>
      <c r="AJ19" s="115">
        <f>'2026.6.'!AL19</f>
        <v>46215</v>
      </c>
      <c r="AK19" s="8">
        <f t="shared" si="2"/>
        <v>46210</v>
      </c>
      <c r="AL19" s="8">
        <f t="shared" si="3"/>
        <v>46250</v>
      </c>
      <c r="AM19" s="81"/>
    </row>
    <row r="20" spans="1:39" x14ac:dyDescent="0.3">
      <c r="A20" s="10">
        <v>115</v>
      </c>
      <c r="B20" s="137"/>
      <c r="C20" s="35"/>
      <c r="D20" s="35"/>
      <c r="E20" s="35" t="s">
        <v>5</v>
      </c>
      <c r="F20" s="35"/>
      <c r="G20" s="35"/>
      <c r="H20" s="35"/>
      <c r="I20" s="35"/>
      <c r="J20" s="35"/>
      <c r="K20" s="35"/>
      <c r="L20" s="35" t="s">
        <v>5</v>
      </c>
      <c r="M20" s="35"/>
      <c r="N20" s="35"/>
      <c r="O20" s="35"/>
      <c r="P20" s="35" t="s">
        <v>13</v>
      </c>
      <c r="Q20" s="35"/>
      <c r="R20" s="35"/>
      <c r="S20" s="35" t="s">
        <v>5</v>
      </c>
      <c r="T20" s="35"/>
      <c r="U20" s="35"/>
      <c r="V20" s="35"/>
      <c r="W20" s="35"/>
      <c r="X20" s="35"/>
      <c r="Y20" s="35"/>
      <c r="Z20" s="35" t="s">
        <v>5</v>
      </c>
      <c r="AA20" s="35"/>
      <c r="AB20" s="35"/>
      <c r="AC20" s="35"/>
      <c r="AD20" s="35"/>
      <c r="AE20" s="35"/>
      <c r="AF20" s="149"/>
      <c r="AG20" s="169">
        <f t="shared" si="0"/>
        <v>1</v>
      </c>
      <c r="AH20" s="9">
        <f t="shared" si="1"/>
        <v>4</v>
      </c>
      <c r="AI20" s="122">
        <v>0</v>
      </c>
      <c r="AJ20" s="115">
        <f>'2026.6.'!AL20</f>
        <v>46225</v>
      </c>
      <c r="AK20" s="8">
        <f t="shared" si="2"/>
        <v>46218</v>
      </c>
      <c r="AL20" s="8">
        <f t="shared" si="3"/>
        <v>46258</v>
      </c>
    </row>
    <row r="21" spans="1:39" x14ac:dyDescent="0.3">
      <c r="A21" s="10">
        <v>116</v>
      </c>
      <c r="B21" s="120" t="s">
        <v>5</v>
      </c>
      <c r="C21" s="35"/>
      <c r="D21" s="35"/>
      <c r="E21" s="35"/>
      <c r="F21" s="35"/>
      <c r="G21" s="35"/>
      <c r="H21" s="35"/>
      <c r="I21" s="35" t="s">
        <v>5</v>
      </c>
      <c r="J21" s="35"/>
      <c r="K21" s="35"/>
      <c r="L21" s="35"/>
      <c r="M21" s="35"/>
      <c r="N21" s="35"/>
      <c r="O21" s="35"/>
      <c r="P21" s="35" t="s">
        <v>5</v>
      </c>
      <c r="Q21" s="35"/>
      <c r="R21" s="35"/>
      <c r="S21" s="35"/>
      <c r="T21" s="35"/>
      <c r="U21" s="35"/>
      <c r="V21" s="35"/>
      <c r="W21" s="35" t="s">
        <v>5</v>
      </c>
      <c r="X21" s="35"/>
      <c r="Y21" s="35"/>
      <c r="Z21" s="35"/>
      <c r="AA21" s="35"/>
      <c r="AB21" s="35"/>
      <c r="AC21" s="35"/>
      <c r="AD21" s="35" t="s">
        <v>5</v>
      </c>
      <c r="AE21" s="35"/>
      <c r="AF21" s="149"/>
      <c r="AG21" s="169">
        <f t="shared" si="0"/>
        <v>0</v>
      </c>
      <c r="AH21" s="9">
        <f t="shared" si="1"/>
        <v>5</v>
      </c>
      <c r="AI21" s="122">
        <v>0</v>
      </c>
      <c r="AJ21" s="115">
        <f>'2026.6.'!AL21</f>
        <v>46243</v>
      </c>
      <c r="AK21" s="8" t="str">
        <f t="shared" si="2"/>
        <v/>
      </c>
      <c r="AL21" s="8">
        <f>AJ21</f>
        <v>46243</v>
      </c>
    </row>
    <row r="22" spans="1:39" x14ac:dyDescent="0.3">
      <c r="A22" s="10">
        <v>117</v>
      </c>
      <c r="B22" s="291" t="s">
        <v>162</v>
      </c>
      <c r="C22" s="251"/>
      <c r="D22" s="251"/>
      <c r="E22" s="251"/>
      <c r="F22" s="251"/>
      <c r="G22" s="251"/>
      <c r="H22" s="251"/>
      <c r="I22" s="251"/>
      <c r="J22" s="251"/>
      <c r="K22" s="284"/>
      <c r="L22" s="35"/>
      <c r="M22" s="35"/>
      <c r="N22" s="35" t="s">
        <v>13</v>
      </c>
      <c r="O22" s="35"/>
      <c r="P22" s="35"/>
      <c r="Q22" s="35"/>
      <c r="R22" s="35"/>
      <c r="S22" s="35" t="s">
        <v>5</v>
      </c>
      <c r="T22" s="35"/>
      <c r="U22" s="35"/>
      <c r="V22" s="35"/>
      <c r="W22" s="35"/>
      <c r="X22" s="35"/>
      <c r="Y22" s="35"/>
      <c r="Z22" s="35" t="s">
        <v>5</v>
      </c>
      <c r="AA22" s="35"/>
      <c r="AB22" s="35"/>
      <c r="AC22" s="35"/>
      <c r="AD22" s="35"/>
      <c r="AE22" s="35"/>
      <c r="AF22" s="149"/>
      <c r="AG22" s="169">
        <f t="shared" si="0"/>
        <v>1</v>
      </c>
      <c r="AH22" s="9">
        <f t="shared" si="1"/>
        <v>2</v>
      </c>
      <c r="AI22" s="122">
        <v>0</v>
      </c>
      <c r="AJ22" s="115">
        <f>'2026.6.'!AL22</f>
        <v>46189</v>
      </c>
      <c r="AK22" s="8">
        <f t="shared" si="2"/>
        <v>46216</v>
      </c>
      <c r="AL22" s="8">
        <f t="shared" si="3"/>
        <v>46256</v>
      </c>
      <c r="AM22" s="81"/>
    </row>
    <row r="23" spans="1:39" x14ac:dyDescent="0.3">
      <c r="A23" s="10">
        <v>118</v>
      </c>
      <c r="B23" s="120"/>
      <c r="C23" s="170"/>
      <c r="D23" s="170"/>
      <c r="E23" s="193" t="s">
        <v>5</v>
      </c>
      <c r="F23" s="170"/>
      <c r="G23" s="170"/>
      <c r="H23" s="170"/>
      <c r="I23" s="170"/>
      <c r="J23" s="35"/>
      <c r="K23" s="35"/>
      <c r="L23" s="35" t="s">
        <v>5</v>
      </c>
      <c r="M23" s="35"/>
      <c r="N23" s="170"/>
      <c r="O23" s="170"/>
      <c r="P23" s="283" t="s">
        <v>190</v>
      </c>
      <c r="Q23" s="251"/>
      <c r="R23" s="251"/>
      <c r="S23" s="251"/>
      <c r="T23" s="251"/>
      <c r="U23" s="251"/>
      <c r="V23" s="251"/>
      <c r="W23" s="251"/>
      <c r="X23" s="251"/>
      <c r="Y23" s="251"/>
      <c r="Z23" s="251"/>
      <c r="AA23" s="251"/>
      <c r="AB23" s="251"/>
      <c r="AC23" s="251"/>
      <c r="AD23" s="251"/>
      <c r="AE23" s="251"/>
      <c r="AF23" s="308"/>
      <c r="AG23" s="169">
        <f t="shared" si="0"/>
        <v>0</v>
      </c>
      <c r="AH23" s="9">
        <f t="shared" si="1"/>
        <v>2</v>
      </c>
      <c r="AI23" s="122">
        <v>0</v>
      </c>
      <c r="AJ23" s="115">
        <f>'2026.6.'!AL23</f>
        <v>46228</v>
      </c>
      <c r="AK23" s="8" t="str">
        <f t="shared" si="2"/>
        <v/>
      </c>
      <c r="AL23" s="8">
        <f>AJ23</f>
        <v>46228</v>
      </c>
      <c r="AM23" s="80"/>
    </row>
    <row r="24" spans="1:39" x14ac:dyDescent="0.3">
      <c r="A24" s="10">
        <v>119</v>
      </c>
      <c r="B24" s="120"/>
      <c r="C24" s="170"/>
      <c r="D24" s="170"/>
      <c r="E24" s="170"/>
      <c r="F24" s="170"/>
      <c r="G24" s="193" t="s">
        <v>5</v>
      </c>
      <c r="H24" s="170"/>
      <c r="I24" s="170"/>
      <c r="J24" s="170"/>
      <c r="K24" s="170"/>
      <c r="L24" s="170"/>
      <c r="M24" s="170"/>
      <c r="N24" s="193" t="s">
        <v>5</v>
      </c>
      <c r="O24" s="170"/>
      <c r="P24" s="170"/>
      <c r="Q24" s="170"/>
      <c r="R24" s="170"/>
      <c r="S24" s="170"/>
      <c r="T24" s="170"/>
      <c r="U24" s="193" t="s">
        <v>5</v>
      </c>
      <c r="V24" s="170"/>
      <c r="W24" s="170"/>
      <c r="X24" s="170"/>
      <c r="Y24" s="35"/>
      <c r="Z24" s="239"/>
      <c r="AA24" s="239"/>
      <c r="AB24" s="254" t="s">
        <v>85</v>
      </c>
      <c r="AC24" s="254"/>
      <c r="AD24" s="254"/>
      <c r="AE24" s="249"/>
      <c r="AF24" s="149" t="s">
        <v>13</v>
      </c>
      <c r="AG24" s="169">
        <f t="shared" si="0"/>
        <v>1</v>
      </c>
      <c r="AH24" s="9">
        <f t="shared" si="1"/>
        <v>3</v>
      </c>
      <c r="AI24" s="122">
        <v>0</v>
      </c>
      <c r="AJ24" s="115">
        <f>'2026.6.'!AL24</f>
        <v>46230</v>
      </c>
      <c r="AK24" s="8">
        <f t="shared" si="2"/>
        <v>46234</v>
      </c>
      <c r="AL24" s="8">
        <f t="shared" si="3"/>
        <v>46274</v>
      </c>
      <c r="AM24" s="80"/>
    </row>
    <row r="25" spans="1:39" x14ac:dyDescent="0.3">
      <c r="A25" s="10">
        <v>120</v>
      </c>
      <c r="B25" s="120"/>
      <c r="C25" s="170"/>
      <c r="D25" s="170"/>
      <c r="E25" s="170"/>
      <c r="F25" s="170"/>
      <c r="G25" s="170"/>
      <c r="H25" s="193" t="s">
        <v>5</v>
      </c>
      <c r="I25" s="170"/>
      <c r="J25" s="170"/>
      <c r="K25" s="170"/>
      <c r="L25" s="170"/>
      <c r="M25" s="170"/>
      <c r="N25" s="170"/>
      <c r="O25" s="193" t="s">
        <v>5</v>
      </c>
      <c r="P25" s="170"/>
      <c r="Q25" s="170"/>
      <c r="R25" s="170"/>
      <c r="S25" s="170"/>
      <c r="T25" s="170"/>
      <c r="U25" s="170"/>
      <c r="V25" s="193" t="s">
        <v>5</v>
      </c>
      <c r="W25" s="170"/>
      <c r="X25" s="170"/>
      <c r="Y25" s="170" t="s">
        <v>13</v>
      </c>
      <c r="Z25" s="170"/>
      <c r="AA25" s="170"/>
      <c r="AB25" s="170"/>
      <c r="AC25" s="193" t="s">
        <v>5</v>
      </c>
      <c r="AD25" s="170"/>
      <c r="AE25" s="170"/>
      <c r="AF25" s="149"/>
      <c r="AG25" s="169">
        <f t="shared" si="0"/>
        <v>1</v>
      </c>
      <c r="AH25" s="9">
        <f t="shared" si="1"/>
        <v>4</v>
      </c>
      <c r="AI25" s="122">
        <v>0</v>
      </c>
      <c r="AJ25" s="115">
        <f>'2026.6.'!AL25</f>
        <v>46235</v>
      </c>
      <c r="AK25" s="8">
        <f t="shared" si="2"/>
        <v>46227</v>
      </c>
      <c r="AL25" s="8">
        <f t="shared" si="3"/>
        <v>46267</v>
      </c>
      <c r="AM25" s="81"/>
    </row>
    <row r="26" spans="1:39" x14ac:dyDescent="0.3">
      <c r="A26" s="10">
        <v>121</v>
      </c>
      <c r="B26" s="120"/>
      <c r="C26" s="170"/>
      <c r="D26" s="35"/>
      <c r="E26" s="35" t="s">
        <v>5</v>
      </c>
      <c r="F26" s="35"/>
      <c r="G26" s="35"/>
      <c r="H26" s="170"/>
      <c r="I26" s="253" t="s">
        <v>123</v>
      </c>
      <c r="J26" s="254"/>
      <c r="K26" s="254"/>
      <c r="L26" s="254"/>
      <c r="M26" s="254"/>
      <c r="N26" s="249"/>
      <c r="O26" s="35" t="s">
        <v>13</v>
      </c>
      <c r="P26" s="170"/>
      <c r="Q26" s="170"/>
      <c r="R26" s="170"/>
      <c r="S26" s="170"/>
      <c r="T26" s="170"/>
      <c r="U26" s="170"/>
      <c r="V26" s="193" t="s">
        <v>5</v>
      </c>
      <c r="W26" s="170"/>
      <c r="X26" s="170"/>
      <c r="Y26" s="170"/>
      <c r="Z26" s="170"/>
      <c r="AA26" s="170"/>
      <c r="AB26" s="193" t="s">
        <v>5</v>
      </c>
      <c r="AC26" s="170"/>
      <c r="AD26" s="170"/>
      <c r="AE26" s="170"/>
      <c r="AF26" s="149"/>
      <c r="AG26" s="169">
        <f t="shared" si="0"/>
        <v>1</v>
      </c>
      <c r="AH26" s="9">
        <f t="shared" si="1"/>
        <v>3</v>
      </c>
      <c r="AI26" s="122">
        <v>0</v>
      </c>
      <c r="AJ26" s="115">
        <f>'2026.6.'!AL26</f>
        <v>46237</v>
      </c>
      <c r="AK26" s="8">
        <f t="shared" si="2"/>
        <v>46217</v>
      </c>
      <c r="AL26" s="8">
        <f t="shared" si="3"/>
        <v>46257</v>
      </c>
    </row>
    <row r="27" spans="1:39" x14ac:dyDescent="0.3">
      <c r="A27" s="10">
        <v>122</v>
      </c>
      <c r="B27" s="120"/>
      <c r="C27" s="170"/>
      <c r="D27" s="170"/>
      <c r="E27" s="170"/>
      <c r="F27" s="170"/>
      <c r="G27" s="170"/>
      <c r="H27" s="193" t="s">
        <v>5</v>
      </c>
      <c r="I27" s="170"/>
      <c r="J27" s="170" t="s">
        <v>13</v>
      </c>
      <c r="K27" s="170"/>
      <c r="L27" s="170"/>
      <c r="M27" s="170"/>
      <c r="N27" s="170"/>
      <c r="O27" s="193" t="s">
        <v>5</v>
      </c>
      <c r="P27" s="170"/>
      <c r="Q27" s="35"/>
      <c r="R27" s="35"/>
      <c r="S27" s="35"/>
      <c r="T27" s="35"/>
      <c r="U27" s="35"/>
      <c r="V27" s="35" t="s">
        <v>5</v>
      </c>
      <c r="W27" s="170"/>
      <c r="X27" s="170"/>
      <c r="Y27" s="170"/>
      <c r="Z27" s="170"/>
      <c r="AA27" s="170"/>
      <c r="AB27" s="170"/>
      <c r="AC27" s="193" t="s">
        <v>5</v>
      </c>
      <c r="AD27" s="170"/>
      <c r="AE27" s="170"/>
      <c r="AF27" s="149"/>
      <c r="AG27" s="169">
        <f t="shared" si="0"/>
        <v>1</v>
      </c>
      <c r="AH27" s="9">
        <f t="shared" si="1"/>
        <v>4</v>
      </c>
      <c r="AI27" s="122">
        <v>0</v>
      </c>
      <c r="AJ27" s="115">
        <f>'2026.6.'!AL27</f>
        <v>46217</v>
      </c>
      <c r="AK27" s="8">
        <f t="shared" si="2"/>
        <v>46212</v>
      </c>
      <c r="AL27" s="8">
        <f t="shared" si="3"/>
        <v>46252</v>
      </c>
    </row>
    <row r="28" spans="1:39" ht="17.25" thickBot="1" x14ac:dyDescent="0.35">
      <c r="A28" s="10">
        <v>123</v>
      </c>
      <c r="B28" s="179"/>
      <c r="C28" s="183"/>
      <c r="D28" s="183"/>
      <c r="E28" s="183"/>
      <c r="F28" s="183" t="s">
        <v>5</v>
      </c>
      <c r="G28" s="183"/>
      <c r="H28" s="183"/>
      <c r="I28" s="183"/>
      <c r="J28" s="127"/>
      <c r="K28" s="127"/>
      <c r="L28" s="127"/>
      <c r="M28" s="127" t="s">
        <v>5</v>
      </c>
      <c r="N28" s="127"/>
      <c r="O28" s="127"/>
      <c r="P28" s="127"/>
      <c r="Q28" s="127" t="s">
        <v>13</v>
      </c>
      <c r="R28" s="127"/>
      <c r="S28" s="127"/>
      <c r="T28" s="127" t="s">
        <v>5</v>
      </c>
      <c r="U28" s="127"/>
      <c r="V28" s="127"/>
      <c r="W28" s="127"/>
      <c r="X28" s="127"/>
      <c r="Y28" s="127"/>
      <c r="Z28" s="127"/>
      <c r="AA28" s="127" t="s">
        <v>5</v>
      </c>
      <c r="AB28" s="127"/>
      <c r="AC28" s="127"/>
      <c r="AD28" s="127"/>
      <c r="AE28" s="127"/>
      <c r="AF28" s="180"/>
      <c r="AG28" s="128">
        <f t="shared" si="0"/>
        <v>1</v>
      </c>
      <c r="AH28" s="184">
        <f t="shared" si="1"/>
        <v>4</v>
      </c>
      <c r="AI28" s="185">
        <v>0</v>
      </c>
      <c r="AJ28" s="115">
        <f>'2026.6.'!AL28</f>
        <v>46222</v>
      </c>
      <c r="AK28" s="8">
        <f t="shared" si="2"/>
        <v>46219</v>
      </c>
      <c r="AL28" s="8">
        <f t="shared" si="3"/>
        <v>46259</v>
      </c>
    </row>
    <row r="29" spans="1:39" x14ac:dyDescent="0.3">
      <c r="A29" s="10" t="s">
        <v>10</v>
      </c>
      <c r="B29" s="118">
        <f>COUNTIF(B6:B28,"7D")</f>
        <v>3</v>
      </c>
      <c r="C29" s="18">
        <f t="shared" ref="C29:AF29" si="4">COUNTIF(C6:C28,"7D")</f>
        <v>3</v>
      </c>
      <c r="D29" s="18">
        <f t="shared" si="4"/>
        <v>3</v>
      </c>
      <c r="E29" s="18">
        <f t="shared" si="4"/>
        <v>3</v>
      </c>
      <c r="F29" s="18">
        <f t="shared" si="4"/>
        <v>3</v>
      </c>
      <c r="G29" s="18">
        <f t="shared" si="4"/>
        <v>3</v>
      </c>
      <c r="H29" s="18">
        <f t="shared" si="4"/>
        <v>3</v>
      </c>
      <c r="I29" s="18">
        <f t="shared" si="4"/>
        <v>3</v>
      </c>
      <c r="J29" s="18">
        <f t="shared" si="4"/>
        <v>3</v>
      </c>
      <c r="K29" s="18">
        <f t="shared" si="4"/>
        <v>3</v>
      </c>
      <c r="L29" s="18">
        <f t="shared" si="4"/>
        <v>2</v>
      </c>
      <c r="M29" s="18">
        <f t="shared" si="4"/>
        <v>3</v>
      </c>
      <c r="N29" s="18">
        <f t="shared" si="4"/>
        <v>3</v>
      </c>
      <c r="O29" s="18">
        <f t="shared" si="4"/>
        <v>3</v>
      </c>
      <c r="P29" s="18">
        <f t="shared" si="4"/>
        <v>3</v>
      </c>
      <c r="Q29" s="18">
        <f t="shared" si="4"/>
        <v>3</v>
      </c>
      <c r="R29" s="18">
        <f t="shared" si="4"/>
        <v>3</v>
      </c>
      <c r="S29" s="18">
        <f t="shared" si="4"/>
        <v>2</v>
      </c>
      <c r="T29" s="18">
        <f t="shared" si="4"/>
        <v>3</v>
      </c>
      <c r="U29" s="18">
        <f t="shared" si="4"/>
        <v>3</v>
      </c>
      <c r="V29" s="18">
        <f t="shared" si="4"/>
        <v>3</v>
      </c>
      <c r="W29" s="18">
        <f t="shared" si="4"/>
        <v>3</v>
      </c>
      <c r="X29" s="18">
        <f t="shared" si="4"/>
        <v>3</v>
      </c>
      <c r="Y29" s="18">
        <f t="shared" si="4"/>
        <v>3</v>
      </c>
      <c r="Z29" s="18">
        <f t="shared" si="4"/>
        <v>3</v>
      </c>
      <c r="AA29" s="18">
        <f t="shared" si="4"/>
        <v>3</v>
      </c>
      <c r="AB29" s="18">
        <f t="shared" si="4"/>
        <v>3</v>
      </c>
      <c r="AC29" s="18">
        <f t="shared" si="4"/>
        <v>3</v>
      </c>
      <c r="AD29" s="18">
        <f t="shared" si="4"/>
        <v>3</v>
      </c>
      <c r="AE29" s="18">
        <f t="shared" si="4"/>
        <v>3</v>
      </c>
      <c r="AF29" s="151">
        <f t="shared" si="4"/>
        <v>3</v>
      </c>
      <c r="AG29" s="167"/>
      <c r="AH29" s="181">
        <f>SUM(B29:AF29)</f>
        <v>91</v>
      </c>
      <c r="AI29" s="182"/>
      <c r="AJ29" s="2"/>
      <c r="AK29" s="14"/>
      <c r="AL29" s="1"/>
    </row>
    <row r="30" spans="1:39" x14ac:dyDescent="0.3">
      <c r="A30" s="10" t="s">
        <v>6</v>
      </c>
      <c r="B30" s="120">
        <v>1</v>
      </c>
      <c r="C30" s="170">
        <v>1</v>
      </c>
      <c r="D30" s="170">
        <v>1</v>
      </c>
      <c r="E30" s="170">
        <v>0</v>
      </c>
      <c r="F30" s="170">
        <v>0</v>
      </c>
      <c r="G30" s="170">
        <v>1</v>
      </c>
      <c r="H30" s="170">
        <v>1</v>
      </c>
      <c r="I30" s="170">
        <v>1</v>
      </c>
      <c r="J30" s="170">
        <v>1</v>
      </c>
      <c r="K30" s="170">
        <v>1</v>
      </c>
      <c r="L30" s="170">
        <v>0</v>
      </c>
      <c r="M30" s="170">
        <v>0</v>
      </c>
      <c r="N30" s="170">
        <v>1</v>
      </c>
      <c r="O30" s="170">
        <v>1</v>
      </c>
      <c r="P30" s="170">
        <v>1</v>
      </c>
      <c r="Q30" s="170">
        <v>1</v>
      </c>
      <c r="R30" s="170">
        <v>0</v>
      </c>
      <c r="S30" s="170">
        <v>0</v>
      </c>
      <c r="T30" s="170">
        <v>0</v>
      </c>
      <c r="U30" s="170">
        <v>1</v>
      </c>
      <c r="V30" s="170">
        <v>1</v>
      </c>
      <c r="W30" s="170">
        <v>1</v>
      </c>
      <c r="X30" s="170">
        <v>1</v>
      </c>
      <c r="Y30" s="170">
        <v>1</v>
      </c>
      <c r="Z30" s="170">
        <v>0</v>
      </c>
      <c r="AA30" s="170">
        <v>0</v>
      </c>
      <c r="AB30" s="170">
        <v>1</v>
      </c>
      <c r="AC30" s="170">
        <v>1</v>
      </c>
      <c r="AD30" s="170">
        <v>1</v>
      </c>
      <c r="AE30" s="170">
        <v>1</v>
      </c>
      <c r="AF30" s="149">
        <v>1</v>
      </c>
      <c r="AG30" s="169"/>
      <c r="AH30" s="166"/>
      <c r="AI30" s="168">
        <f>SUM(B30:AF30)</f>
        <v>22</v>
      </c>
      <c r="AJ30" s="2"/>
      <c r="AK30" s="1"/>
      <c r="AL30" s="1"/>
    </row>
    <row r="31" spans="1:39" ht="17.25" thickBot="1" x14ac:dyDescent="0.35">
      <c r="A31" s="10" t="s">
        <v>12</v>
      </c>
      <c r="B31" s="179">
        <f>COUNTIF(B6:B28,"청")</f>
        <v>1</v>
      </c>
      <c r="C31" s="127">
        <f t="shared" ref="C31:AF31" si="5">COUNTIF(C6:C28,"청")</f>
        <v>1</v>
      </c>
      <c r="D31" s="127">
        <f t="shared" si="5"/>
        <v>1</v>
      </c>
      <c r="E31" s="127">
        <f t="shared" si="5"/>
        <v>0</v>
      </c>
      <c r="F31" s="127">
        <f t="shared" si="5"/>
        <v>0</v>
      </c>
      <c r="G31" s="127">
        <f t="shared" si="5"/>
        <v>1</v>
      </c>
      <c r="H31" s="127">
        <f t="shared" si="5"/>
        <v>1</v>
      </c>
      <c r="I31" s="127">
        <f t="shared" si="5"/>
        <v>1</v>
      </c>
      <c r="J31" s="127">
        <f t="shared" si="5"/>
        <v>1</v>
      </c>
      <c r="K31" s="127">
        <f t="shared" si="5"/>
        <v>1</v>
      </c>
      <c r="L31" s="127">
        <f t="shared" si="5"/>
        <v>0</v>
      </c>
      <c r="M31" s="127">
        <f t="shared" si="5"/>
        <v>0</v>
      </c>
      <c r="N31" s="127">
        <f t="shared" si="5"/>
        <v>1</v>
      </c>
      <c r="O31" s="127">
        <f t="shared" si="5"/>
        <v>1</v>
      </c>
      <c r="P31" s="127">
        <f t="shared" si="5"/>
        <v>1</v>
      </c>
      <c r="Q31" s="127">
        <f t="shared" si="5"/>
        <v>1</v>
      </c>
      <c r="R31" s="127">
        <f t="shared" si="5"/>
        <v>0</v>
      </c>
      <c r="S31" s="127">
        <f t="shared" si="5"/>
        <v>0</v>
      </c>
      <c r="T31" s="127">
        <f t="shared" si="5"/>
        <v>0</v>
      </c>
      <c r="U31" s="127">
        <f t="shared" si="5"/>
        <v>1</v>
      </c>
      <c r="V31" s="127">
        <f t="shared" si="5"/>
        <v>1</v>
      </c>
      <c r="W31" s="127">
        <f t="shared" si="5"/>
        <v>1</v>
      </c>
      <c r="X31" s="127">
        <f t="shared" si="5"/>
        <v>1</v>
      </c>
      <c r="Y31" s="127">
        <f t="shared" si="5"/>
        <v>1</v>
      </c>
      <c r="Z31" s="127">
        <f t="shared" si="5"/>
        <v>0</v>
      </c>
      <c r="AA31" s="127">
        <f t="shared" si="5"/>
        <v>0</v>
      </c>
      <c r="AB31" s="127">
        <f t="shared" si="5"/>
        <v>1</v>
      </c>
      <c r="AC31" s="127">
        <f t="shared" si="5"/>
        <v>1</v>
      </c>
      <c r="AD31" s="127">
        <f t="shared" si="5"/>
        <v>1</v>
      </c>
      <c r="AE31" s="127">
        <f t="shared" si="5"/>
        <v>1</v>
      </c>
      <c r="AF31" s="180">
        <f t="shared" si="5"/>
        <v>1</v>
      </c>
      <c r="AG31" s="128"/>
      <c r="AH31" s="278">
        <f>SUM(B31:AF31)</f>
        <v>22</v>
      </c>
      <c r="AI31" s="279"/>
      <c r="AJ31" s="2"/>
      <c r="AK31" s="1"/>
      <c r="AL31" s="1"/>
    </row>
    <row r="32" spans="1:39" x14ac:dyDescent="0.3">
      <c r="A32" s="17"/>
      <c r="B32" s="17"/>
      <c r="C32" s="85"/>
      <c r="D32" s="105"/>
      <c r="E32" s="86"/>
      <c r="F32" s="106"/>
      <c r="G32" s="34"/>
      <c r="H32" s="34"/>
      <c r="I32" s="34"/>
      <c r="J32" s="34"/>
      <c r="K32" s="87"/>
      <c r="T32" s="83"/>
      <c r="X32" s="83"/>
      <c r="AA32" s="34"/>
      <c r="AB32" s="82"/>
    </row>
    <row r="34" spans="1:24" x14ac:dyDescent="0.3">
      <c r="A34" s="17"/>
      <c r="B34" s="303" t="s">
        <v>188</v>
      </c>
      <c r="C34" s="303"/>
      <c r="D34" s="303"/>
      <c r="E34" s="304">
        <v>46220</v>
      </c>
      <c r="F34" s="304"/>
      <c r="G34" s="304"/>
      <c r="H34" s="305">
        <f>E34</f>
        <v>46220</v>
      </c>
      <c r="I34" s="305"/>
      <c r="J34" s="305"/>
    </row>
    <row r="35" spans="1:24" x14ac:dyDescent="0.3">
      <c r="A35" s="17"/>
      <c r="B35" s="303"/>
      <c r="C35" s="303"/>
      <c r="D35" s="303"/>
      <c r="E35" s="304"/>
      <c r="F35" s="304"/>
      <c r="G35" s="304"/>
      <c r="H35" s="305"/>
      <c r="I35" s="305"/>
      <c r="J35" s="305"/>
      <c r="X35" t="s">
        <v>185</v>
      </c>
    </row>
    <row r="36" spans="1:24" ht="26.25" x14ac:dyDescent="0.3">
      <c r="A36" s="17"/>
      <c r="B36" s="293"/>
      <c r="C36" s="293"/>
      <c r="D36" s="293"/>
      <c r="E36" s="294"/>
      <c r="F36" s="294"/>
      <c r="G36" s="294"/>
      <c r="H36" s="295"/>
      <c r="I36" s="295"/>
      <c r="J36" s="295"/>
      <c r="X36" s="217" t="s">
        <v>192</v>
      </c>
    </row>
    <row r="37" spans="1:24" x14ac:dyDescent="0.3">
      <c r="B37" s="293"/>
      <c r="C37" s="293"/>
      <c r="D37" s="293"/>
      <c r="E37" s="294"/>
      <c r="F37" s="294"/>
      <c r="G37" s="294"/>
      <c r="H37" s="295"/>
      <c r="I37" s="295"/>
      <c r="J37" s="295"/>
      <c r="M37" s="17"/>
      <c r="N37" s="135"/>
      <c r="O37" s="136"/>
    </row>
    <row r="38" spans="1:24" x14ac:dyDescent="0.3">
      <c r="B38" s="293"/>
      <c r="C38" s="293"/>
      <c r="D38" s="293"/>
      <c r="E38" s="294"/>
      <c r="F38" s="294"/>
      <c r="G38" s="294"/>
      <c r="H38" s="295"/>
      <c r="I38" s="295"/>
      <c r="J38" s="295"/>
      <c r="M38" s="17"/>
      <c r="N38" s="135"/>
      <c r="O38" s="136"/>
      <c r="X38" t="s">
        <v>184</v>
      </c>
    </row>
    <row r="39" spans="1:24" ht="26.25" x14ac:dyDescent="0.3">
      <c r="B39" s="293"/>
      <c r="C39" s="293"/>
      <c r="D39" s="293"/>
      <c r="E39" s="294"/>
      <c r="F39" s="294"/>
      <c r="G39" s="294"/>
      <c r="H39" s="295"/>
      <c r="I39" s="295"/>
      <c r="J39" s="295"/>
      <c r="X39" s="84" t="s">
        <v>191</v>
      </c>
    </row>
  </sheetData>
  <mergeCells count="61">
    <mergeCell ref="I26:N26"/>
    <mergeCell ref="P23:AF23"/>
    <mergeCell ref="O6:U6"/>
    <mergeCell ref="V9:Y9"/>
    <mergeCell ref="AB24:AE24"/>
    <mergeCell ref="B38:D38"/>
    <mergeCell ref="E38:G38"/>
    <mergeCell ref="H38:J38"/>
    <mergeCell ref="B39:D39"/>
    <mergeCell ref="E39:G39"/>
    <mergeCell ref="H39:J39"/>
    <mergeCell ref="B36:D36"/>
    <mergeCell ref="E36:G36"/>
    <mergeCell ref="H36:J36"/>
    <mergeCell ref="B37:D37"/>
    <mergeCell ref="E37:G37"/>
    <mergeCell ref="H37:J37"/>
    <mergeCell ref="AH31:AI31"/>
    <mergeCell ref="B34:D34"/>
    <mergeCell ref="E34:G34"/>
    <mergeCell ref="H34:J34"/>
    <mergeCell ref="B35:D35"/>
    <mergeCell ref="E35:G35"/>
    <mergeCell ref="H35:J35"/>
    <mergeCell ref="AG3:AI4"/>
    <mergeCell ref="B22:K22"/>
    <mergeCell ref="C17:H17"/>
    <mergeCell ref="AA3:AA4"/>
    <mergeCell ref="AB3:AB4"/>
    <mergeCell ref="AC3:AC4"/>
    <mergeCell ref="AD3:AD4"/>
    <mergeCell ref="AE3:AE4"/>
    <mergeCell ref="AF3:AF4"/>
    <mergeCell ref="U3:U4"/>
    <mergeCell ref="V3:V4"/>
    <mergeCell ref="W3:W4"/>
    <mergeCell ref="X3:X4"/>
    <mergeCell ref="Y3:Y4"/>
    <mergeCell ref="Z3:Z4"/>
    <mergeCell ref="O3:O4"/>
    <mergeCell ref="P3:P4"/>
    <mergeCell ref="Q3:Q4"/>
    <mergeCell ref="R3:R4"/>
    <mergeCell ref="S3:S4"/>
    <mergeCell ref="T3:T4"/>
    <mergeCell ref="N3:N4"/>
    <mergeCell ref="A1:AI1"/>
    <mergeCell ref="A2:AI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3" type="noConversion"/>
  <conditionalFormatting sqref="B3:AF5 B6:O6 V6:AF6 B7:AF8 B9:U9 Z9:AF9 B10:AF11 B12:AE12 B13:AF16 B17:C17 I17:AF17 B18:AF21 B22 L22:AF22 B23:P23 B24:Y24 AF24 B25:AF25 B26:I26 O26:AF26 B27:AF31">
    <cfRule type="expression" dxfId="5" priority="1">
      <formula>-OR(WEEKDAY(B$3,1)=7,WEEKDAY(B$3,1)=1,B$3=$E$34:$G$39)</formula>
    </cfRule>
    <cfRule type="expression" priority="2">
      <formula>OR(WEEKDAY(B$3,1)=7,WEEKDAY(B$3,1)=1,B$3=$E$34:$G$39)</formula>
    </cfRule>
  </conditionalFormatting>
  <pageMargins left="0.25" right="0.25" top="0.75" bottom="0.75" header="0.3" footer="0.3"/>
  <pageSetup paperSize="9" scale="68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C883-F273-497E-9384-4D6D30B22284}">
  <sheetPr>
    <pageSetUpPr fitToPage="1"/>
  </sheetPr>
  <dimension ref="A1:AM39"/>
  <sheetViews>
    <sheetView workbookViewId="0">
      <pane ySplit="5" topLeftCell="A6" activePane="bottomLeft" state="frozen"/>
      <selection pane="bottomLeft" activeCell="J42" sqref="J42"/>
    </sheetView>
  </sheetViews>
  <sheetFormatPr defaultRowHeight="16.5" x14ac:dyDescent="0.3"/>
  <cols>
    <col min="1" max="1" width="9.125" bestFit="1" customWidth="1"/>
    <col min="2" max="31" width="3.75" customWidth="1"/>
    <col min="32" max="32" width="4.125" bestFit="1" customWidth="1"/>
    <col min="33" max="35" width="3.75" customWidth="1"/>
    <col min="36" max="36" width="12.5" hidden="1" customWidth="1"/>
    <col min="37" max="38" width="11.25" hidden="1" customWidth="1"/>
    <col min="39" max="39" width="10.375" hidden="1" customWidth="1"/>
  </cols>
  <sheetData>
    <row r="1" spans="1:39" x14ac:dyDescent="0.3">
      <c r="A1" s="264" t="s">
        <v>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173"/>
      <c r="AK1" s="1"/>
      <c r="AL1" s="1"/>
    </row>
    <row r="2" spans="1:39" ht="17.25" thickBot="1" x14ac:dyDescent="0.35">
      <c r="A2" s="266" t="s">
        <v>168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174"/>
      <c r="AK2" s="1"/>
      <c r="AL2" s="1"/>
    </row>
    <row r="3" spans="1:39" x14ac:dyDescent="0.3">
      <c r="A3" s="268" t="s">
        <v>1</v>
      </c>
      <c r="B3" s="311">
        <v>46235</v>
      </c>
      <c r="C3" s="309">
        <v>46236</v>
      </c>
      <c r="D3" s="309">
        <v>46237</v>
      </c>
      <c r="E3" s="309">
        <v>46238</v>
      </c>
      <c r="F3" s="309">
        <v>46239</v>
      </c>
      <c r="G3" s="309">
        <v>46240</v>
      </c>
      <c r="H3" s="309">
        <v>46241</v>
      </c>
      <c r="I3" s="309">
        <v>46242</v>
      </c>
      <c r="J3" s="309">
        <v>46243</v>
      </c>
      <c r="K3" s="309">
        <v>46244</v>
      </c>
      <c r="L3" s="309">
        <v>46245</v>
      </c>
      <c r="M3" s="309">
        <v>46246</v>
      </c>
      <c r="N3" s="309">
        <v>46247</v>
      </c>
      <c r="O3" s="309">
        <v>46248</v>
      </c>
      <c r="P3" s="309">
        <v>46249</v>
      </c>
      <c r="Q3" s="309">
        <v>46250</v>
      </c>
      <c r="R3" s="309">
        <v>46251</v>
      </c>
      <c r="S3" s="309">
        <v>46252</v>
      </c>
      <c r="T3" s="309">
        <v>46253</v>
      </c>
      <c r="U3" s="309">
        <v>46254</v>
      </c>
      <c r="V3" s="309">
        <v>46255</v>
      </c>
      <c r="W3" s="309">
        <v>46256</v>
      </c>
      <c r="X3" s="309">
        <v>46257</v>
      </c>
      <c r="Y3" s="309">
        <v>46258</v>
      </c>
      <c r="Z3" s="309">
        <v>46259</v>
      </c>
      <c r="AA3" s="309">
        <v>46260</v>
      </c>
      <c r="AB3" s="309">
        <v>46261</v>
      </c>
      <c r="AC3" s="309">
        <v>46262</v>
      </c>
      <c r="AD3" s="309">
        <v>46263</v>
      </c>
      <c r="AE3" s="309">
        <v>46264</v>
      </c>
      <c r="AF3" s="313">
        <v>46265</v>
      </c>
      <c r="AG3" s="296" t="s">
        <v>2</v>
      </c>
      <c r="AH3" s="285"/>
      <c r="AI3" s="286"/>
      <c r="AJ3" s="2"/>
      <c r="AK3" s="1"/>
      <c r="AL3" s="1"/>
    </row>
    <row r="4" spans="1:39" x14ac:dyDescent="0.3">
      <c r="A4" s="269"/>
      <c r="B4" s="312"/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10"/>
      <c r="Z4" s="310"/>
      <c r="AA4" s="310"/>
      <c r="AB4" s="310"/>
      <c r="AC4" s="310"/>
      <c r="AD4" s="310"/>
      <c r="AE4" s="310"/>
      <c r="AF4" s="314"/>
      <c r="AG4" s="297"/>
      <c r="AH4" s="255"/>
      <c r="AI4" s="287"/>
      <c r="AJ4" s="2"/>
      <c r="AK4" s="1"/>
      <c r="AL4" s="1"/>
    </row>
    <row r="5" spans="1:39" ht="17.25" thickBot="1" x14ac:dyDescent="0.35">
      <c r="A5" s="66" t="s">
        <v>3</v>
      </c>
      <c r="B5" s="116">
        <v>46235</v>
      </c>
      <c r="C5" s="43">
        <v>46236</v>
      </c>
      <c r="D5" s="43">
        <v>46237</v>
      </c>
      <c r="E5" s="43">
        <v>46238</v>
      </c>
      <c r="F5" s="43">
        <v>46239</v>
      </c>
      <c r="G5" s="43">
        <v>46240</v>
      </c>
      <c r="H5" s="43">
        <v>46241</v>
      </c>
      <c r="I5" s="43">
        <v>46242</v>
      </c>
      <c r="J5" s="43">
        <v>46243</v>
      </c>
      <c r="K5" s="43">
        <v>46244</v>
      </c>
      <c r="L5" s="43">
        <v>46245</v>
      </c>
      <c r="M5" s="43">
        <v>46246</v>
      </c>
      <c r="N5" s="43">
        <v>46247</v>
      </c>
      <c r="O5" s="43">
        <v>46248</v>
      </c>
      <c r="P5" s="43">
        <v>46249</v>
      </c>
      <c r="Q5" s="43">
        <v>46250</v>
      </c>
      <c r="R5" s="43">
        <v>46251</v>
      </c>
      <c r="S5" s="43">
        <v>46252</v>
      </c>
      <c r="T5" s="43">
        <v>46253</v>
      </c>
      <c r="U5" s="43">
        <v>46254</v>
      </c>
      <c r="V5" s="43">
        <v>46255</v>
      </c>
      <c r="W5" s="43">
        <v>46256</v>
      </c>
      <c r="X5" s="43">
        <v>46257</v>
      </c>
      <c r="Y5" s="43">
        <v>46258</v>
      </c>
      <c r="Z5" s="43">
        <v>46259</v>
      </c>
      <c r="AA5" s="43">
        <v>46260</v>
      </c>
      <c r="AB5" s="43">
        <v>46261</v>
      </c>
      <c r="AC5" s="43">
        <v>46262</v>
      </c>
      <c r="AD5" s="43">
        <v>46263</v>
      </c>
      <c r="AE5" s="43">
        <v>46264</v>
      </c>
      <c r="AF5" s="152">
        <v>46265</v>
      </c>
      <c r="AG5" s="177" t="s">
        <v>4</v>
      </c>
      <c r="AH5" s="171" t="s">
        <v>10</v>
      </c>
      <c r="AI5" s="176" t="s">
        <v>6</v>
      </c>
      <c r="AJ5" s="114" t="s">
        <v>7</v>
      </c>
      <c r="AK5" s="6" t="s">
        <v>8</v>
      </c>
      <c r="AL5" s="6" t="s">
        <v>9</v>
      </c>
    </row>
    <row r="6" spans="1:39" ht="17.25" thickTop="1" x14ac:dyDescent="0.3">
      <c r="A6" s="19">
        <v>101</v>
      </c>
      <c r="B6" s="194" t="s">
        <v>10</v>
      </c>
      <c r="C6" s="7"/>
      <c r="D6" s="7"/>
      <c r="E6" s="7"/>
      <c r="F6" s="7"/>
      <c r="G6" s="7"/>
      <c r="H6" s="7"/>
      <c r="I6" s="7" t="s">
        <v>5</v>
      </c>
      <c r="J6" s="36"/>
      <c r="K6" s="36"/>
      <c r="L6" s="36"/>
      <c r="M6" s="36"/>
      <c r="N6" s="7"/>
      <c r="O6" s="36"/>
      <c r="P6" s="36" t="s">
        <v>5</v>
      </c>
      <c r="Q6" s="36"/>
      <c r="R6" s="36"/>
      <c r="S6" s="36"/>
      <c r="T6" s="36"/>
      <c r="U6" s="36"/>
      <c r="V6" s="7" t="s">
        <v>13</v>
      </c>
      <c r="W6" s="7" t="s">
        <v>5</v>
      </c>
      <c r="X6" s="7"/>
      <c r="Y6" s="7"/>
      <c r="Z6" s="7"/>
      <c r="AA6" s="7"/>
      <c r="AB6" s="7"/>
      <c r="AC6" s="7"/>
      <c r="AD6" s="7" t="s">
        <v>5</v>
      </c>
      <c r="AE6" s="7"/>
      <c r="AF6" s="195"/>
      <c r="AG6" s="177">
        <f>COUNTIF(B6:AF6,"청")</f>
        <v>1</v>
      </c>
      <c r="AH6" s="9">
        <f>COUNTIF(B6:AF6,"7D")</f>
        <v>5</v>
      </c>
      <c r="AI6" s="122">
        <v>0</v>
      </c>
      <c r="AJ6" s="115">
        <f>'2026.7.'!AL6</f>
        <v>46264</v>
      </c>
      <c r="AK6" s="8">
        <f>IFERROR(INDEX($B$3:$AF$5,1,MATCH("청",B6:AF6,0)),"")</f>
        <v>46255</v>
      </c>
      <c r="AL6" s="8">
        <f>IFERROR(AK6+40,"")</f>
        <v>46295</v>
      </c>
      <c r="AM6" s="81"/>
    </row>
    <row r="7" spans="1:39" x14ac:dyDescent="0.3">
      <c r="A7" s="10">
        <v>102</v>
      </c>
      <c r="B7" s="120"/>
      <c r="C7" s="205" t="s">
        <v>5</v>
      </c>
      <c r="D7" s="178"/>
      <c r="E7" s="178"/>
      <c r="F7" s="178"/>
      <c r="G7" s="178"/>
      <c r="H7" s="178"/>
      <c r="I7" s="178"/>
      <c r="J7" s="205" t="s">
        <v>5</v>
      </c>
      <c r="K7" s="178"/>
      <c r="L7" s="178"/>
      <c r="M7" s="178"/>
      <c r="N7" s="178"/>
      <c r="O7" s="178"/>
      <c r="P7" s="178"/>
      <c r="Q7" s="205" t="s">
        <v>5</v>
      </c>
      <c r="R7" s="178"/>
      <c r="S7" s="178"/>
      <c r="T7" s="178"/>
      <c r="U7" s="178"/>
      <c r="V7" s="178"/>
      <c r="W7" s="35"/>
      <c r="X7" s="35" t="s">
        <v>5</v>
      </c>
      <c r="Y7" s="35"/>
      <c r="Z7" s="35"/>
      <c r="AA7" s="35"/>
      <c r="AB7" s="35"/>
      <c r="AC7" s="35"/>
      <c r="AD7" s="239"/>
      <c r="AE7" s="239"/>
      <c r="AF7" s="242">
        <v>102</v>
      </c>
      <c r="AG7" s="45">
        <f t="shared" ref="AG7:AG28" si="0">COUNTIF(B7:AF7,"청")</f>
        <v>0</v>
      </c>
      <c r="AH7" s="44">
        <f t="shared" ref="AH7:AH28" si="1">COUNTIF(B7:AF7,"7D")</f>
        <v>4</v>
      </c>
      <c r="AI7" s="121">
        <v>0</v>
      </c>
      <c r="AJ7" s="115">
        <f>'2026.7.'!AL7</f>
        <v>46263</v>
      </c>
      <c r="AK7" s="8" t="str">
        <f t="shared" ref="AK7:AK28" si="2">IFERROR(INDEX($B$3:$AF$5,1,MATCH("청",B7:AF7,0)),"")</f>
        <v/>
      </c>
      <c r="AL7" s="8">
        <f>AJ7</f>
        <v>46263</v>
      </c>
      <c r="AM7" s="81"/>
    </row>
    <row r="8" spans="1:39" x14ac:dyDescent="0.3">
      <c r="A8" s="10">
        <v>103</v>
      </c>
      <c r="B8" s="120"/>
      <c r="C8" s="35"/>
      <c r="D8" s="35"/>
      <c r="E8" s="35"/>
      <c r="F8" s="35"/>
      <c r="G8" s="178"/>
      <c r="H8" s="205" t="s">
        <v>5</v>
      </c>
      <c r="I8" s="178"/>
      <c r="J8" s="178"/>
      <c r="K8" s="178"/>
      <c r="L8" s="178"/>
      <c r="M8" s="178"/>
      <c r="N8" s="178"/>
      <c r="O8" s="205" t="s">
        <v>5</v>
      </c>
      <c r="P8" s="35"/>
      <c r="Q8" s="35"/>
      <c r="R8" s="35"/>
      <c r="S8" s="35"/>
      <c r="T8" s="178"/>
      <c r="U8" s="178"/>
      <c r="V8" s="205" t="s">
        <v>5</v>
      </c>
      <c r="W8" s="178"/>
      <c r="X8" s="178"/>
      <c r="Y8" s="178"/>
      <c r="Z8" s="178"/>
      <c r="AA8" s="178"/>
      <c r="AB8" s="178" t="s">
        <v>13</v>
      </c>
      <c r="AC8" s="205" t="s">
        <v>5</v>
      </c>
      <c r="AD8" s="178"/>
      <c r="AE8" s="178"/>
      <c r="AF8" s="149"/>
      <c r="AG8" s="177">
        <f t="shared" si="0"/>
        <v>1</v>
      </c>
      <c r="AH8" s="9">
        <f t="shared" si="1"/>
        <v>4</v>
      </c>
      <c r="AI8" s="122">
        <v>0</v>
      </c>
      <c r="AJ8" s="115">
        <f>'2026.7.'!AL8</f>
        <v>46265</v>
      </c>
      <c r="AK8" s="8">
        <f t="shared" si="2"/>
        <v>46261</v>
      </c>
      <c r="AL8" s="8">
        <f t="shared" ref="AL8:AL28" si="3">IFERROR(AK8+40,"")</f>
        <v>46301</v>
      </c>
      <c r="AM8" s="81"/>
    </row>
    <row r="9" spans="1:39" x14ac:dyDescent="0.3">
      <c r="A9" s="10">
        <v>104</v>
      </c>
      <c r="B9" s="120"/>
      <c r="C9" s="178"/>
      <c r="D9" s="178"/>
      <c r="E9" s="178"/>
      <c r="F9" s="178"/>
      <c r="G9" s="205" t="s">
        <v>5</v>
      </c>
      <c r="H9" s="178"/>
      <c r="I9" s="178"/>
      <c r="J9" s="178"/>
      <c r="K9" s="178"/>
      <c r="L9" s="178"/>
      <c r="M9" s="178"/>
      <c r="N9" s="35" t="s">
        <v>5</v>
      </c>
      <c r="O9" s="35"/>
      <c r="P9" s="35"/>
      <c r="Q9" s="35"/>
      <c r="R9" s="35"/>
      <c r="S9" s="35"/>
      <c r="T9" s="178"/>
      <c r="U9" s="35" t="s">
        <v>5</v>
      </c>
      <c r="V9" s="35"/>
      <c r="W9" s="35"/>
      <c r="X9" s="35"/>
      <c r="Y9" s="178"/>
      <c r="Z9" s="178"/>
      <c r="AA9" s="178" t="s">
        <v>13</v>
      </c>
      <c r="AB9" s="205" t="s">
        <v>5</v>
      </c>
      <c r="AC9" s="178"/>
      <c r="AD9" s="178"/>
      <c r="AE9" s="178"/>
      <c r="AF9" s="149"/>
      <c r="AG9" s="177">
        <f t="shared" si="0"/>
        <v>1</v>
      </c>
      <c r="AH9" s="9">
        <f t="shared" si="1"/>
        <v>4</v>
      </c>
      <c r="AI9" s="122">
        <v>0</v>
      </c>
      <c r="AJ9" s="115">
        <f>'2026.7.'!AL9</f>
        <v>45905</v>
      </c>
      <c r="AK9" s="8">
        <f t="shared" si="2"/>
        <v>46260</v>
      </c>
      <c r="AL9" s="8">
        <f t="shared" si="3"/>
        <v>46300</v>
      </c>
    </row>
    <row r="10" spans="1:39" x14ac:dyDescent="0.3">
      <c r="A10" s="10">
        <v>105</v>
      </c>
      <c r="B10" s="120"/>
      <c r="C10" s="205" t="s">
        <v>5</v>
      </c>
      <c r="D10" s="178"/>
      <c r="E10" s="178"/>
      <c r="F10" s="178"/>
      <c r="G10" s="178"/>
      <c r="H10" s="178"/>
      <c r="I10" s="178"/>
      <c r="J10" s="205" t="s">
        <v>5</v>
      </c>
      <c r="K10" s="178"/>
      <c r="L10" s="178"/>
      <c r="M10" s="178"/>
      <c r="N10" s="178"/>
      <c r="O10" s="178" t="s">
        <v>13</v>
      </c>
      <c r="P10" s="178"/>
      <c r="Q10" s="205" t="s">
        <v>5</v>
      </c>
      <c r="R10" s="178"/>
      <c r="S10" s="178"/>
      <c r="T10" s="178"/>
      <c r="U10" s="178"/>
      <c r="V10" s="178"/>
      <c r="W10" s="178"/>
      <c r="X10" s="205" t="s">
        <v>5</v>
      </c>
      <c r="Y10" s="178"/>
      <c r="Z10" s="178"/>
      <c r="AA10" s="178"/>
      <c r="AB10" s="178"/>
      <c r="AC10" s="35"/>
      <c r="AD10" s="35" t="s">
        <v>10</v>
      </c>
      <c r="AE10" s="35"/>
      <c r="AF10" s="149"/>
      <c r="AG10" s="177">
        <f t="shared" si="0"/>
        <v>1</v>
      </c>
      <c r="AH10" s="9">
        <f t="shared" si="1"/>
        <v>5</v>
      </c>
      <c r="AI10" s="122">
        <v>0</v>
      </c>
      <c r="AJ10" s="115">
        <f>'2026.7.'!AL10</f>
        <v>46266</v>
      </c>
      <c r="AK10" s="8">
        <f t="shared" si="2"/>
        <v>46248</v>
      </c>
      <c r="AL10" s="8">
        <f t="shared" si="3"/>
        <v>46288</v>
      </c>
      <c r="AM10" s="80"/>
    </row>
    <row r="11" spans="1:39" x14ac:dyDescent="0.3">
      <c r="A11" s="10">
        <v>106</v>
      </c>
      <c r="B11" s="137"/>
      <c r="C11" s="35"/>
      <c r="D11" s="35"/>
      <c r="E11" s="35"/>
      <c r="F11" s="35"/>
      <c r="G11" s="35"/>
      <c r="H11" s="35" t="s">
        <v>5</v>
      </c>
      <c r="I11" s="35"/>
      <c r="J11" s="35"/>
      <c r="K11" s="35"/>
      <c r="L11" s="35"/>
      <c r="M11" s="178"/>
      <c r="N11" s="178"/>
      <c r="O11" s="205" t="s">
        <v>5</v>
      </c>
      <c r="P11" s="178"/>
      <c r="Q11" s="178"/>
      <c r="R11" s="178"/>
      <c r="S11" s="178"/>
      <c r="T11" s="178"/>
      <c r="U11" s="178"/>
      <c r="V11" s="205" t="s">
        <v>5</v>
      </c>
      <c r="W11" s="35"/>
      <c r="X11" s="35"/>
      <c r="Y11" s="35"/>
      <c r="Z11" s="35"/>
      <c r="AA11" s="178"/>
      <c r="AB11" s="178"/>
      <c r="AC11" s="205" t="s">
        <v>5</v>
      </c>
      <c r="AD11" s="178"/>
      <c r="AE11" s="178"/>
      <c r="AF11" s="149"/>
      <c r="AG11" s="177">
        <f t="shared" si="0"/>
        <v>0</v>
      </c>
      <c r="AH11" s="9">
        <f t="shared" si="1"/>
        <v>4</v>
      </c>
      <c r="AI11" s="122">
        <v>0</v>
      </c>
      <c r="AJ11" s="115">
        <f>'2026.7.'!AL11</f>
        <v>46272</v>
      </c>
      <c r="AK11" s="8" t="str">
        <f t="shared" si="2"/>
        <v/>
      </c>
      <c r="AL11" s="8">
        <f>AJ11</f>
        <v>46272</v>
      </c>
    </row>
    <row r="12" spans="1:39" x14ac:dyDescent="0.3">
      <c r="A12" s="10">
        <v>107</v>
      </c>
      <c r="B12" s="292" t="s">
        <v>84</v>
      </c>
      <c r="C12" s="254"/>
      <c r="D12" s="254"/>
      <c r="E12" s="254"/>
      <c r="F12" s="249"/>
      <c r="G12" s="178" t="s">
        <v>13</v>
      </c>
      <c r="H12" s="178"/>
      <c r="I12" s="178"/>
      <c r="J12" s="178"/>
      <c r="K12" s="35"/>
      <c r="L12" s="35" t="s">
        <v>5</v>
      </c>
      <c r="M12" s="35"/>
      <c r="N12" s="35"/>
      <c r="O12" s="35"/>
      <c r="P12" s="35"/>
      <c r="Q12" s="35"/>
      <c r="R12" s="35"/>
      <c r="S12" s="35" t="s">
        <v>5</v>
      </c>
      <c r="T12" s="35"/>
      <c r="U12" s="35"/>
      <c r="V12" s="35"/>
      <c r="W12" s="35"/>
      <c r="X12" s="35"/>
      <c r="Y12" s="35"/>
      <c r="Z12" s="35" t="s">
        <v>5</v>
      </c>
      <c r="AA12" s="35"/>
      <c r="AB12" s="35"/>
      <c r="AC12" s="35"/>
      <c r="AD12" s="178"/>
      <c r="AE12" s="74"/>
      <c r="AF12" s="196"/>
      <c r="AG12" s="177">
        <f t="shared" si="0"/>
        <v>1</v>
      </c>
      <c r="AH12" s="9">
        <f t="shared" si="1"/>
        <v>3</v>
      </c>
      <c r="AI12" s="122">
        <v>0</v>
      </c>
      <c r="AJ12" s="115">
        <f>'2026.7.'!AL12</f>
        <v>46253</v>
      </c>
      <c r="AK12" s="8">
        <f t="shared" si="2"/>
        <v>46240</v>
      </c>
      <c r="AL12" s="8">
        <f t="shared" si="3"/>
        <v>46280</v>
      </c>
      <c r="AM12" s="81"/>
    </row>
    <row r="13" spans="1:39" x14ac:dyDescent="0.3">
      <c r="A13" s="10">
        <v>108</v>
      </c>
      <c r="B13" s="120"/>
      <c r="C13" s="178"/>
      <c r="D13" s="178"/>
      <c r="E13" s="178"/>
      <c r="F13" s="178" t="s">
        <v>13</v>
      </c>
      <c r="G13" s="205" t="s">
        <v>5</v>
      </c>
      <c r="H13" s="178"/>
      <c r="I13" s="178"/>
      <c r="J13" s="178"/>
      <c r="K13" s="178"/>
      <c r="L13" s="178"/>
      <c r="M13" s="178"/>
      <c r="N13" s="205" t="s">
        <v>5</v>
      </c>
      <c r="O13" s="178"/>
      <c r="P13" s="178"/>
      <c r="Q13" s="178"/>
      <c r="R13" s="178"/>
      <c r="S13" s="178"/>
      <c r="T13" s="178"/>
      <c r="U13" s="205" t="s">
        <v>5</v>
      </c>
      <c r="V13" s="178"/>
      <c r="W13" s="178"/>
      <c r="X13" s="178"/>
      <c r="Y13" s="178"/>
      <c r="Z13" s="178"/>
      <c r="AA13" s="178"/>
      <c r="AB13" s="205" t="s">
        <v>5</v>
      </c>
      <c r="AC13" s="178"/>
      <c r="AD13" s="178"/>
      <c r="AE13" s="178"/>
      <c r="AF13" s="149"/>
      <c r="AG13" s="177">
        <f t="shared" si="0"/>
        <v>1</v>
      </c>
      <c r="AH13" s="9">
        <f t="shared" si="1"/>
        <v>4</v>
      </c>
      <c r="AI13" s="122">
        <v>0</v>
      </c>
      <c r="AJ13" s="115">
        <f>'2026.7.'!AL13</f>
        <v>46244</v>
      </c>
      <c r="AK13" s="8">
        <f t="shared" si="2"/>
        <v>46239</v>
      </c>
      <c r="AL13" s="8">
        <f t="shared" si="3"/>
        <v>46279</v>
      </c>
      <c r="AM13" s="80"/>
    </row>
    <row r="14" spans="1:39" x14ac:dyDescent="0.3">
      <c r="A14" s="10">
        <v>109</v>
      </c>
      <c r="B14" s="120"/>
      <c r="C14" s="178"/>
      <c r="D14" s="178"/>
      <c r="E14" s="178"/>
      <c r="F14" s="205" t="s">
        <v>5</v>
      </c>
      <c r="G14" s="178"/>
      <c r="H14" s="178" t="s">
        <v>13</v>
      </c>
      <c r="I14" s="178"/>
      <c r="J14" s="178"/>
      <c r="K14" s="178"/>
      <c r="L14" s="178"/>
      <c r="M14" s="35" t="s">
        <v>5</v>
      </c>
      <c r="N14" s="35"/>
      <c r="O14" s="35"/>
      <c r="P14" s="35"/>
      <c r="Q14" s="35"/>
      <c r="R14" s="35"/>
      <c r="S14" s="35"/>
      <c r="T14" s="35" t="s">
        <v>5</v>
      </c>
      <c r="U14" s="35"/>
      <c r="V14" s="178"/>
      <c r="W14" s="178"/>
      <c r="X14" s="178"/>
      <c r="Y14" s="178"/>
      <c r="Z14" s="178"/>
      <c r="AA14" s="35" t="s">
        <v>5</v>
      </c>
      <c r="AB14" s="35"/>
      <c r="AC14" s="35"/>
      <c r="AD14" s="35"/>
      <c r="AE14" s="35"/>
      <c r="AF14" s="149"/>
      <c r="AG14" s="177">
        <f t="shared" si="0"/>
        <v>1</v>
      </c>
      <c r="AH14" s="9">
        <f t="shared" si="1"/>
        <v>4</v>
      </c>
      <c r="AI14" s="122">
        <v>0</v>
      </c>
      <c r="AJ14" s="115">
        <f>'2026.7.'!AL14</f>
        <v>46245</v>
      </c>
      <c r="AK14" s="8">
        <f t="shared" si="2"/>
        <v>46241</v>
      </c>
      <c r="AL14" s="8">
        <f t="shared" si="3"/>
        <v>46281</v>
      </c>
    </row>
    <row r="15" spans="1:39" x14ac:dyDescent="0.3">
      <c r="A15" s="10">
        <v>110</v>
      </c>
      <c r="B15" s="137"/>
      <c r="C15" s="35"/>
      <c r="D15" s="35"/>
      <c r="E15" s="35"/>
      <c r="F15" s="178"/>
      <c r="G15" s="205" t="s">
        <v>5</v>
      </c>
      <c r="H15" s="178"/>
      <c r="I15" s="178"/>
      <c r="J15" s="178"/>
      <c r="K15" s="35"/>
      <c r="L15" s="35"/>
      <c r="M15" s="35"/>
      <c r="N15" s="35" t="s">
        <v>5</v>
      </c>
      <c r="O15" s="35"/>
      <c r="P15" s="35"/>
      <c r="Q15" s="178"/>
      <c r="R15" s="178"/>
      <c r="S15" s="35"/>
      <c r="T15" s="254" t="s">
        <v>90</v>
      </c>
      <c r="U15" s="254"/>
      <c r="V15" s="254"/>
      <c r="W15" s="254"/>
      <c r="X15" s="254"/>
      <c r="Y15" s="249"/>
      <c r="Z15" s="178" t="s">
        <v>13</v>
      </c>
      <c r="AA15" s="178"/>
      <c r="AB15" s="178"/>
      <c r="AC15" s="178"/>
      <c r="AD15" s="205"/>
      <c r="AE15" s="178" t="s">
        <v>10</v>
      </c>
      <c r="AF15" s="149"/>
      <c r="AG15" s="177">
        <f t="shared" si="0"/>
        <v>1</v>
      </c>
      <c r="AH15" s="9">
        <f t="shared" si="1"/>
        <v>3</v>
      </c>
      <c r="AI15" s="122">
        <v>0</v>
      </c>
      <c r="AJ15" s="115">
        <f>'2026.7.'!AL15</f>
        <v>46249</v>
      </c>
      <c r="AK15" s="8">
        <f t="shared" si="2"/>
        <v>46259</v>
      </c>
      <c r="AL15" s="8">
        <f t="shared" si="3"/>
        <v>46299</v>
      </c>
    </row>
    <row r="16" spans="1:39" x14ac:dyDescent="0.3">
      <c r="A16" s="10">
        <v>111</v>
      </c>
      <c r="B16" s="120"/>
      <c r="C16" s="178"/>
      <c r="D16" s="178"/>
      <c r="E16" s="178"/>
      <c r="F16" s="178"/>
      <c r="G16" s="178"/>
      <c r="H16" s="205" t="s">
        <v>5</v>
      </c>
      <c r="I16" s="178"/>
      <c r="J16" s="178"/>
      <c r="K16" s="178"/>
      <c r="L16" s="178"/>
      <c r="M16" s="178"/>
      <c r="N16" s="178"/>
      <c r="O16" s="205" t="s">
        <v>5</v>
      </c>
      <c r="P16" s="178"/>
      <c r="Q16" s="178"/>
      <c r="R16" s="178"/>
      <c r="S16" s="178"/>
      <c r="T16" s="178"/>
      <c r="U16" s="205" t="s">
        <v>5</v>
      </c>
      <c r="V16" s="35"/>
      <c r="W16" s="35"/>
      <c r="X16" s="35"/>
      <c r="Y16" s="237" t="s">
        <v>13</v>
      </c>
      <c r="Z16" s="35"/>
      <c r="AA16" s="35"/>
      <c r="AB16" s="205" t="s">
        <v>5</v>
      </c>
      <c r="AC16" s="178"/>
      <c r="AD16" s="178"/>
      <c r="AE16" s="178"/>
      <c r="AF16" s="149"/>
      <c r="AG16" s="177">
        <f t="shared" si="0"/>
        <v>1</v>
      </c>
      <c r="AH16" s="9">
        <f t="shared" si="1"/>
        <v>4</v>
      </c>
      <c r="AI16" s="122">
        <v>0</v>
      </c>
      <c r="AJ16" s="115">
        <f>'2026.7.'!AL16</f>
        <v>46271</v>
      </c>
      <c r="AK16" s="8">
        <f t="shared" si="2"/>
        <v>46258</v>
      </c>
      <c r="AL16" s="8">
        <f t="shared" si="3"/>
        <v>46298</v>
      </c>
    </row>
    <row r="17" spans="1:39" x14ac:dyDescent="0.3">
      <c r="A17" s="10">
        <v>112</v>
      </c>
      <c r="B17" s="120"/>
      <c r="C17" s="35"/>
      <c r="D17" s="35"/>
      <c r="E17" s="35" t="s">
        <v>5</v>
      </c>
      <c r="F17" s="35"/>
      <c r="G17" s="35"/>
      <c r="H17" s="35"/>
      <c r="I17" s="178"/>
      <c r="J17" s="178"/>
      <c r="K17" s="178" t="s">
        <v>13</v>
      </c>
      <c r="L17" s="205" t="s">
        <v>5</v>
      </c>
      <c r="M17" s="178"/>
      <c r="N17" s="178"/>
      <c r="O17" s="178"/>
      <c r="P17" s="178"/>
      <c r="Q17" s="178"/>
      <c r="R17" s="178"/>
      <c r="S17" s="205" t="s">
        <v>5</v>
      </c>
      <c r="T17" s="178"/>
      <c r="U17" s="178"/>
      <c r="V17" s="178"/>
      <c r="W17" s="178"/>
      <c r="X17" s="35"/>
      <c r="Y17" s="35"/>
      <c r="Z17" s="35" t="s">
        <v>5</v>
      </c>
      <c r="AA17" s="35"/>
      <c r="AB17" s="178"/>
      <c r="AC17" s="178"/>
      <c r="AD17" s="178"/>
      <c r="AE17" s="178"/>
      <c r="AF17" s="149"/>
      <c r="AG17" s="177">
        <f t="shared" si="0"/>
        <v>1</v>
      </c>
      <c r="AH17" s="9">
        <f t="shared" si="1"/>
        <v>4</v>
      </c>
      <c r="AI17" s="122">
        <v>0</v>
      </c>
      <c r="AJ17" s="115">
        <f>'2026.7.'!AL17</f>
        <v>46251</v>
      </c>
      <c r="AK17" s="8">
        <f t="shared" si="2"/>
        <v>46244</v>
      </c>
      <c r="AL17" s="8">
        <f t="shared" si="3"/>
        <v>46284</v>
      </c>
      <c r="AM17" s="81"/>
    </row>
    <row r="18" spans="1:39" x14ac:dyDescent="0.3">
      <c r="A18" s="10">
        <v>113</v>
      </c>
      <c r="B18" s="120"/>
      <c r="C18" s="178"/>
      <c r="D18" s="178"/>
      <c r="E18" s="205" t="s">
        <v>5</v>
      </c>
      <c r="F18" s="35"/>
      <c r="G18" s="35"/>
      <c r="H18" s="35"/>
      <c r="I18" s="35"/>
      <c r="J18" s="35"/>
      <c r="K18" s="35"/>
      <c r="L18" s="35"/>
      <c r="M18" s="254" t="s">
        <v>92</v>
      </c>
      <c r="N18" s="254"/>
      <c r="O18" s="254"/>
      <c r="P18" s="254"/>
      <c r="Q18" s="254"/>
      <c r="R18" s="254"/>
      <c r="S18" s="249"/>
      <c r="T18" s="178" t="s">
        <v>13</v>
      </c>
      <c r="U18" s="178"/>
      <c r="V18" s="205"/>
      <c r="W18" s="178"/>
      <c r="X18" s="178"/>
      <c r="Y18" s="178" t="s">
        <v>10</v>
      </c>
      <c r="Z18" s="178"/>
      <c r="AA18" s="178"/>
      <c r="AB18" s="178"/>
      <c r="AC18" s="205"/>
      <c r="AD18" s="178"/>
      <c r="AE18" s="178" t="s">
        <v>10</v>
      </c>
      <c r="AF18" s="149"/>
      <c r="AG18" s="177">
        <f t="shared" si="0"/>
        <v>1</v>
      </c>
      <c r="AH18" s="9">
        <f t="shared" si="1"/>
        <v>3</v>
      </c>
      <c r="AI18" s="122">
        <v>0</v>
      </c>
      <c r="AJ18" s="115">
        <f>'2026.7.'!AL18</f>
        <v>46273</v>
      </c>
      <c r="AK18" s="8">
        <f t="shared" si="2"/>
        <v>46253</v>
      </c>
      <c r="AL18" s="8">
        <f t="shared" si="3"/>
        <v>46293</v>
      </c>
    </row>
    <row r="19" spans="1:39" x14ac:dyDescent="0.3">
      <c r="A19" s="10">
        <v>114</v>
      </c>
      <c r="B19" s="140"/>
      <c r="C19" s="138"/>
      <c r="D19" s="138" t="s">
        <v>5</v>
      </c>
      <c r="E19" s="138"/>
      <c r="F19" s="178"/>
      <c r="G19" s="178"/>
      <c r="H19" s="178"/>
      <c r="I19" s="178"/>
      <c r="J19" s="178"/>
      <c r="K19" s="205" t="s">
        <v>5</v>
      </c>
      <c r="L19" s="178" t="s">
        <v>13</v>
      </c>
      <c r="M19" s="178"/>
      <c r="N19" s="178"/>
      <c r="O19" s="178"/>
      <c r="P19" s="178"/>
      <c r="Q19" s="205" t="s">
        <v>5</v>
      </c>
      <c r="R19" s="178"/>
      <c r="S19" s="178"/>
      <c r="T19" s="178"/>
      <c r="U19" s="178"/>
      <c r="V19" s="178"/>
      <c r="W19" s="178"/>
      <c r="X19" s="205" t="s">
        <v>5</v>
      </c>
      <c r="Y19" s="178"/>
      <c r="Z19" s="178"/>
      <c r="AA19" s="178"/>
      <c r="AB19" s="178"/>
      <c r="AC19" s="178"/>
      <c r="AD19" s="35"/>
      <c r="AE19" s="35"/>
      <c r="AF19" s="149" t="s">
        <v>10</v>
      </c>
      <c r="AG19" s="177">
        <f t="shared" si="0"/>
        <v>1</v>
      </c>
      <c r="AH19" s="9">
        <f t="shared" si="1"/>
        <v>5</v>
      </c>
      <c r="AI19" s="122">
        <v>0</v>
      </c>
      <c r="AJ19" s="115">
        <f>'2026.7.'!AL19</f>
        <v>46250</v>
      </c>
      <c r="AK19" s="8">
        <f t="shared" si="2"/>
        <v>46245</v>
      </c>
      <c r="AL19" s="8">
        <f t="shared" si="3"/>
        <v>46285</v>
      </c>
      <c r="AM19" s="81"/>
    </row>
    <row r="20" spans="1:39" x14ac:dyDescent="0.3">
      <c r="A20" s="10">
        <v>115</v>
      </c>
      <c r="B20" s="137" t="s">
        <v>5</v>
      </c>
      <c r="C20" s="35"/>
      <c r="D20" s="35"/>
      <c r="E20" s="35"/>
      <c r="F20" s="35"/>
      <c r="G20" s="254" t="s">
        <v>169</v>
      </c>
      <c r="H20" s="254"/>
      <c r="I20" s="254"/>
      <c r="J20" s="254"/>
      <c r="K20" s="254"/>
      <c r="L20" s="249"/>
      <c r="M20" s="35" t="s">
        <v>13</v>
      </c>
      <c r="N20" s="35"/>
      <c r="O20" s="35"/>
      <c r="P20" s="35"/>
      <c r="Q20" s="35"/>
      <c r="R20" s="35" t="s">
        <v>5</v>
      </c>
      <c r="S20" s="35"/>
      <c r="T20" s="35"/>
      <c r="U20" s="35"/>
      <c r="V20" s="35"/>
      <c r="W20" s="35"/>
      <c r="X20" s="35"/>
      <c r="Y20" s="35" t="s">
        <v>5</v>
      </c>
      <c r="Z20" s="35"/>
      <c r="AA20" s="35"/>
      <c r="AB20" s="35"/>
      <c r="AC20" s="35"/>
      <c r="AD20" s="35"/>
      <c r="AE20" s="35"/>
      <c r="AF20" s="149" t="s">
        <v>5</v>
      </c>
      <c r="AG20" s="177">
        <f t="shared" si="0"/>
        <v>1</v>
      </c>
      <c r="AH20" s="9">
        <f t="shared" si="1"/>
        <v>4</v>
      </c>
      <c r="AI20" s="122">
        <v>0</v>
      </c>
      <c r="AJ20" s="115">
        <f>'2026.7.'!AL20</f>
        <v>46258</v>
      </c>
      <c r="AK20" s="8">
        <f t="shared" si="2"/>
        <v>46246</v>
      </c>
      <c r="AL20" s="8">
        <f t="shared" si="3"/>
        <v>46286</v>
      </c>
    </row>
    <row r="21" spans="1:39" x14ac:dyDescent="0.3">
      <c r="A21" s="10">
        <v>116</v>
      </c>
      <c r="B21" s="120"/>
      <c r="C21" s="35"/>
      <c r="D21" s="35" t="s">
        <v>13</v>
      </c>
      <c r="E21" s="35"/>
      <c r="F21" s="35" t="s">
        <v>5</v>
      </c>
      <c r="G21" s="35"/>
      <c r="H21" s="35"/>
      <c r="I21" s="35"/>
      <c r="J21" s="35"/>
      <c r="K21" s="35"/>
      <c r="L21" s="35"/>
      <c r="M21" s="35" t="s">
        <v>5</v>
      </c>
      <c r="N21" s="35"/>
      <c r="O21" s="35"/>
      <c r="P21" s="35"/>
      <c r="Q21" s="35"/>
      <c r="R21" s="35"/>
      <c r="S21" s="35"/>
      <c r="T21" s="35" t="s">
        <v>5</v>
      </c>
      <c r="U21" s="35"/>
      <c r="V21" s="35"/>
      <c r="W21" s="35"/>
      <c r="X21" s="35"/>
      <c r="Y21" s="35"/>
      <c r="Z21" s="35"/>
      <c r="AA21" s="35" t="s">
        <v>5</v>
      </c>
      <c r="AB21" s="35"/>
      <c r="AC21" s="35" t="s">
        <v>13</v>
      </c>
      <c r="AD21" s="35"/>
      <c r="AE21" s="35"/>
      <c r="AF21" s="149"/>
      <c r="AG21" s="236">
        <f t="shared" si="0"/>
        <v>2</v>
      </c>
      <c r="AH21" s="9">
        <f t="shared" si="1"/>
        <v>4</v>
      </c>
      <c r="AI21" s="122">
        <v>0</v>
      </c>
      <c r="AJ21" s="115">
        <f>'2026.7.'!AL21</f>
        <v>46243</v>
      </c>
      <c r="AK21" s="12">
        <v>46262</v>
      </c>
      <c r="AL21" s="8">
        <f t="shared" si="3"/>
        <v>46302</v>
      </c>
    </row>
    <row r="22" spans="1:39" x14ac:dyDescent="0.3">
      <c r="A22" s="10">
        <v>117</v>
      </c>
      <c r="B22" s="137" t="s">
        <v>5</v>
      </c>
      <c r="C22" s="35"/>
      <c r="D22" s="35"/>
      <c r="E22" s="35"/>
      <c r="F22" s="35"/>
      <c r="G22" s="35"/>
      <c r="H22" s="35"/>
      <c r="I22" s="35" t="s">
        <v>5</v>
      </c>
      <c r="J22" s="35"/>
      <c r="K22" s="35"/>
      <c r="L22" s="35"/>
      <c r="M22" s="35"/>
      <c r="N22" s="35" t="s">
        <v>13</v>
      </c>
      <c r="O22" s="35"/>
      <c r="P22" s="35" t="s">
        <v>5</v>
      </c>
      <c r="Q22" s="35"/>
      <c r="R22" s="35"/>
      <c r="S22" s="35"/>
      <c r="T22" s="35"/>
      <c r="U22" s="35"/>
      <c r="V22" s="35"/>
      <c r="W22" s="35" t="s">
        <v>5</v>
      </c>
      <c r="X22" s="35"/>
      <c r="Y22" s="35"/>
      <c r="Z22" s="35"/>
      <c r="AA22" s="35"/>
      <c r="AB22" s="35"/>
      <c r="AC22" s="35"/>
      <c r="AD22" s="35" t="s">
        <v>5</v>
      </c>
      <c r="AE22" s="35"/>
      <c r="AF22" s="149"/>
      <c r="AG22" s="177">
        <f t="shared" si="0"/>
        <v>1</v>
      </c>
      <c r="AH22" s="9">
        <f t="shared" si="1"/>
        <v>5</v>
      </c>
      <c r="AI22" s="122">
        <v>0</v>
      </c>
      <c r="AJ22" s="115">
        <f>'2026.7.'!AL22</f>
        <v>46256</v>
      </c>
      <c r="AK22" s="8">
        <f t="shared" si="2"/>
        <v>46247</v>
      </c>
      <c r="AL22" s="8">
        <f t="shared" si="3"/>
        <v>46287</v>
      </c>
      <c r="AM22" s="81"/>
    </row>
    <row r="23" spans="1:39" x14ac:dyDescent="0.3">
      <c r="A23" s="10">
        <v>118</v>
      </c>
      <c r="B23" s="291" t="s">
        <v>190</v>
      </c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  <c r="AA23" s="251"/>
      <c r="AB23" s="251"/>
      <c r="AC23" s="251"/>
      <c r="AD23" s="251"/>
      <c r="AE23" s="251"/>
      <c r="AF23" s="308"/>
      <c r="AG23" s="177">
        <f t="shared" si="0"/>
        <v>0</v>
      </c>
      <c r="AH23" s="9">
        <f t="shared" si="1"/>
        <v>0</v>
      </c>
      <c r="AI23" s="122">
        <v>0</v>
      </c>
      <c r="AJ23" s="115">
        <f>'2026.7.'!AL23</f>
        <v>46228</v>
      </c>
      <c r="AK23" s="8" t="str">
        <f t="shared" si="2"/>
        <v/>
      </c>
      <c r="AL23" s="8">
        <f>AJ23</f>
        <v>46228</v>
      </c>
      <c r="AM23" s="80"/>
    </row>
    <row r="24" spans="1:39" x14ac:dyDescent="0.3">
      <c r="A24" s="10">
        <v>119</v>
      </c>
      <c r="B24" s="120"/>
      <c r="C24" s="178"/>
      <c r="D24" s="178"/>
      <c r="E24" s="178"/>
      <c r="F24" s="205" t="s">
        <v>5</v>
      </c>
      <c r="G24" s="178"/>
      <c r="H24" s="178"/>
      <c r="I24" s="178"/>
      <c r="J24" s="178"/>
      <c r="K24" s="178"/>
      <c r="L24" s="178"/>
      <c r="M24" s="205" t="s">
        <v>5</v>
      </c>
      <c r="N24" s="178"/>
      <c r="O24" s="178"/>
      <c r="P24" s="178"/>
      <c r="Q24" s="178"/>
      <c r="R24" s="178"/>
      <c r="S24" s="178"/>
      <c r="T24" s="205" t="s">
        <v>5</v>
      </c>
      <c r="U24" s="178"/>
      <c r="V24" s="178"/>
      <c r="W24" s="178"/>
      <c r="X24" s="178"/>
      <c r="Y24" s="35"/>
      <c r="Z24" s="35"/>
      <c r="AA24" s="35" t="s">
        <v>5</v>
      </c>
      <c r="AB24" s="35"/>
      <c r="AC24" s="35"/>
      <c r="AD24" s="35"/>
      <c r="AE24" s="35"/>
      <c r="AF24" s="149"/>
      <c r="AG24" s="177">
        <f t="shared" si="0"/>
        <v>0</v>
      </c>
      <c r="AH24" s="9">
        <f t="shared" si="1"/>
        <v>4</v>
      </c>
      <c r="AI24" s="122">
        <v>0</v>
      </c>
      <c r="AJ24" s="115">
        <f>'2026.7.'!AL24</f>
        <v>46274</v>
      </c>
      <c r="AK24" s="8" t="str">
        <f t="shared" si="2"/>
        <v/>
      </c>
      <c r="AL24" s="8">
        <f>AJ24</f>
        <v>46274</v>
      </c>
      <c r="AM24" s="80"/>
    </row>
    <row r="25" spans="1:39" x14ac:dyDescent="0.3">
      <c r="A25" s="10">
        <v>120</v>
      </c>
      <c r="B25" s="120"/>
      <c r="C25" s="178"/>
      <c r="D25" s="178"/>
      <c r="E25" s="205" t="s">
        <v>5</v>
      </c>
      <c r="F25" s="178"/>
      <c r="G25" s="178"/>
      <c r="H25" s="178"/>
      <c r="I25" s="178"/>
      <c r="J25" s="178"/>
      <c r="K25" s="178"/>
      <c r="L25" s="205" t="s">
        <v>5</v>
      </c>
      <c r="M25" s="178"/>
      <c r="N25" s="178"/>
      <c r="O25" s="178"/>
      <c r="P25" s="178"/>
      <c r="Q25" s="178"/>
      <c r="R25" s="178"/>
      <c r="S25" s="205" t="s">
        <v>5</v>
      </c>
      <c r="T25" s="178"/>
      <c r="U25" s="178"/>
      <c r="V25" s="178"/>
      <c r="W25" s="178"/>
      <c r="X25" s="178"/>
      <c r="Y25" s="178"/>
      <c r="Z25" s="205" t="s">
        <v>5</v>
      </c>
      <c r="AA25" s="178"/>
      <c r="AB25" s="178"/>
      <c r="AC25" s="178"/>
      <c r="AD25" s="178"/>
      <c r="AE25" s="178"/>
      <c r="AF25" s="149"/>
      <c r="AG25" s="177">
        <f t="shared" si="0"/>
        <v>0</v>
      </c>
      <c r="AH25" s="9">
        <f t="shared" si="1"/>
        <v>4</v>
      </c>
      <c r="AI25" s="122">
        <v>0</v>
      </c>
      <c r="AJ25" s="115">
        <f>'2026.7.'!AL25</f>
        <v>46267</v>
      </c>
      <c r="AK25" s="8" t="str">
        <f t="shared" si="2"/>
        <v/>
      </c>
      <c r="AL25" s="8">
        <f>AJ25</f>
        <v>46267</v>
      </c>
      <c r="AM25" s="81"/>
    </row>
    <row r="26" spans="1:39" x14ac:dyDescent="0.3">
      <c r="A26" s="10">
        <v>121</v>
      </c>
      <c r="B26" s="120"/>
      <c r="C26" s="178"/>
      <c r="D26" s="35" t="s">
        <v>5</v>
      </c>
      <c r="E26" s="35"/>
      <c r="F26" s="35"/>
      <c r="G26" s="35"/>
      <c r="H26" s="178"/>
      <c r="I26" s="35"/>
      <c r="J26" s="35"/>
      <c r="K26" s="35" t="s">
        <v>5</v>
      </c>
      <c r="L26" s="35"/>
      <c r="M26" s="35"/>
      <c r="N26" s="35"/>
      <c r="O26" s="35"/>
      <c r="P26" s="178"/>
      <c r="Q26" s="178"/>
      <c r="R26" s="205" t="s">
        <v>5</v>
      </c>
      <c r="S26" s="178" t="s">
        <v>13</v>
      </c>
      <c r="T26" s="178"/>
      <c r="U26" s="178"/>
      <c r="V26" s="178"/>
      <c r="W26" s="178"/>
      <c r="X26" s="178"/>
      <c r="Y26" s="205" t="s">
        <v>5</v>
      </c>
      <c r="Z26" s="178"/>
      <c r="AA26" s="178"/>
      <c r="AB26" s="178"/>
      <c r="AC26" s="178"/>
      <c r="AD26" s="178"/>
      <c r="AE26" s="178"/>
      <c r="AF26" s="149" t="s">
        <v>5</v>
      </c>
      <c r="AG26" s="177">
        <f t="shared" si="0"/>
        <v>1</v>
      </c>
      <c r="AH26" s="9">
        <f t="shared" si="1"/>
        <v>5</v>
      </c>
      <c r="AI26" s="122">
        <v>0</v>
      </c>
      <c r="AJ26" s="115">
        <f>'2026.7.'!AL26</f>
        <v>46257</v>
      </c>
      <c r="AK26" s="8">
        <f t="shared" si="2"/>
        <v>46252</v>
      </c>
      <c r="AL26" s="8">
        <f t="shared" si="3"/>
        <v>46292</v>
      </c>
    </row>
    <row r="27" spans="1:39" x14ac:dyDescent="0.3">
      <c r="A27" s="10">
        <v>122</v>
      </c>
      <c r="B27" s="120"/>
      <c r="C27" s="178"/>
      <c r="D27" s="205" t="s">
        <v>5</v>
      </c>
      <c r="E27" s="178" t="s">
        <v>13</v>
      </c>
      <c r="F27" s="178"/>
      <c r="G27" s="178"/>
      <c r="H27" s="178"/>
      <c r="I27" s="178"/>
      <c r="J27" s="178"/>
      <c r="K27" s="205" t="s">
        <v>5</v>
      </c>
      <c r="L27" s="178"/>
      <c r="M27" s="178"/>
      <c r="N27" s="178"/>
      <c r="O27" s="178"/>
      <c r="P27" s="178"/>
      <c r="Q27" s="35"/>
      <c r="R27" s="35" t="s">
        <v>5</v>
      </c>
      <c r="S27" s="35"/>
      <c r="T27" s="35"/>
      <c r="U27" s="35"/>
      <c r="V27" s="35"/>
      <c r="W27" s="178"/>
      <c r="X27" s="178"/>
      <c r="Y27" s="35"/>
      <c r="Z27" s="254" t="s">
        <v>124</v>
      </c>
      <c r="AA27" s="254"/>
      <c r="AB27" s="254"/>
      <c r="AC27" s="249"/>
      <c r="AD27" s="178"/>
      <c r="AE27" s="178"/>
      <c r="AF27" s="149" t="s">
        <v>13</v>
      </c>
      <c r="AG27" s="202">
        <f t="shared" si="0"/>
        <v>2</v>
      </c>
      <c r="AH27" s="9">
        <f t="shared" si="1"/>
        <v>3</v>
      </c>
      <c r="AI27" s="122">
        <v>0</v>
      </c>
      <c r="AJ27" s="115">
        <f>'2026.7.'!AL27</f>
        <v>46252</v>
      </c>
      <c r="AK27" s="12">
        <v>46265</v>
      </c>
      <c r="AL27" s="8">
        <f t="shared" si="3"/>
        <v>46305</v>
      </c>
    </row>
    <row r="28" spans="1:39" ht="17.25" thickBot="1" x14ac:dyDescent="0.35">
      <c r="A28" s="10">
        <v>123</v>
      </c>
      <c r="B28" s="179"/>
      <c r="C28" s="183" t="s">
        <v>5</v>
      </c>
      <c r="D28" s="183"/>
      <c r="E28" s="183"/>
      <c r="F28" s="183"/>
      <c r="G28" s="183"/>
      <c r="H28" s="183"/>
      <c r="I28" s="183"/>
      <c r="J28" s="127" t="s">
        <v>5</v>
      </c>
      <c r="K28" s="127"/>
      <c r="L28" s="127"/>
      <c r="M28" s="127"/>
      <c r="N28" s="127"/>
      <c r="O28" s="127"/>
      <c r="P28" s="127" t="s">
        <v>5</v>
      </c>
      <c r="Q28" s="127"/>
      <c r="R28" s="127"/>
      <c r="S28" s="127"/>
      <c r="T28" s="127"/>
      <c r="U28" s="127" t="s">
        <v>13</v>
      </c>
      <c r="V28" s="127"/>
      <c r="W28" s="127" t="s">
        <v>5</v>
      </c>
      <c r="X28" s="127"/>
      <c r="Y28" s="127"/>
      <c r="Z28" s="127"/>
      <c r="AA28" s="127"/>
      <c r="AB28" s="127"/>
      <c r="AC28" s="127"/>
      <c r="AD28" s="127"/>
      <c r="AE28" s="127" t="s">
        <v>5</v>
      </c>
      <c r="AF28" s="180"/>
      <c r="AG28" s="128">
        <f t="shared" si="0"/>
        <v>1</v>
      </c>
      <c r="AH28" s="184">
        <f t="shared" si="1"/>
        <v>5</v>
      </c>
      <c r="AI28" s="185">
        <v>0</v>
      </c>
      <c r="AJ28" s="115">
        <f>'2026.7.'!AL28</f>
        <v>46259</v>
      </c>
      <c r="AK28" s="8">
        <f t="shared" si="2"/>
        <v>46254</v>
      </c>
      <c r="AL28" s="8">
        <f t="shared" si="3"/>
        <v>46294</v>
      </c>
    </row>
    <row r="29" spans="1:39" x14ac:dyDescent="0.3">
      <c r="A29" s="10" t="s">
        <v>10</v>
      </c>
      <c r="B29" s="118">
        <f>COUNTIF(B6:B28,"7D")</f>
        <v>3</v>
      </c>
      <c r="C29" s="18">
        <f t="shared" ref="C29:AF29" si="4">COUNTIF(C6:C28,"7D")</f>
        <v>3</v>
      </c>
      <c r="D29" s="18">
        <f t="shared" si="4"/>
        <v>3</v>
      </c>
      <c r="E29" s="18">
        <f t="shared" si="4"/>
        <v>3</v>
      </c>
      <c r="F29" s="18">
        <f t="shared" si="4"/>
        <v>3</v>
      </c>
      <c r="G29" s="18">
        <f t="shared" si="4"/>
        <v>3</v>
      </c>
      <c r="H29" s="18">
        <f t="shared" si="4"/>
        <v>3</v>
      </c>
      <c r="I29" s="18">
        <f t="shared" si="4"/>
        <v>2</v>
      </c>
      <c r="J29" s="18">
        <f t="shared" si="4"/>
        <v>3</v>
      </c>
      <c r="K29" s="18">
        <f t="shared" si="4"/>
        <v>3</v>
      </c>
      <c r="L29" s="18">
        <f t="shared" si="4"/>
        <v>3</v>
      </c>
      <c r="M29" s="18">
        <f t="shared" si="4"/>
        <v>3</v>
      </c>
      <c r="N29" s="18">
        <f t="shared" si="4"/>
        <v>3</v>
      </c>
      <c r="O29" s="18">
        <f t="shared" si="4"/>
        <v>3</v>
      </c>
      <c r="P29" s="18">
        <f t="shared" si="4"/>
        <v>3</v>
      </c>
      <c r="Q29" s="18">
        <f t="shared" si="4"/>
        <v>3</v>
      </c>
      <c r="R29" s="18">
        <f t="shared" si="4"/>
        <v>3</v>
      </c>
      <c r="S29" s="18">
        <f t="shared" si="4"/>
        <v>3</v>
      </c>
      <c r="T29" s="18">
        <f t="shared" si="4"/>
        <v>3</v>
      </c>
      <c r="U29" s="18">
        <f t="shared" si="4"/>
        <v>3</v>
      </c>
      <c r="V29" s="18">
        <f t="shared" si="4"/>
        <v>2</v>
      </c>
      <c r="W29" s="18">
        <f t="shared" si="4"/>
        <v>3</v>
      </c>
      <c r="X29" s="18">
        <f t="shared" si="4"/>
        <v>3</v>
      </c>
      <c r="Y29" s="18">
        <f t="shared" si="4"/>
        <v>3</v>
      </c>
      <c r="Z29" s="18">
        <f t="shared" si="4"/>
        <v>3</v>
      </c>
      <c r="AA29" s="18">
        <f t="shared" si="4"/>
        <v>3</v>
      </c>
      <c r="AB29" s="18">
        <f t="shared" si="4"/>
        <v>3</v>
      </c>
      <c r="AC29" s="18">
        <f t="shared" si="4"/>
        <v>2</v>
      </c>
      <c r="AD29" s="18">
        <f t="shared" si="4"/>
        <v>3</v>
      </c>
      <c r="AE29" s="18">
        <f t="shared" si="4"/>
        <v>3</v>
      </c>
      <c r="AF29" s="151">
        <f t="shared" si="4"/>
        <v>3</v>
      </c>
      <c r="AG29" s="172"/>
      <c r="AH29" s="181">
        <f>SUM(B29:AF29)</f>
        <v>90</v>
      </c>
      <c r="AI29" s="182"/>
      <c r="AJ29" s="2"/>
      <c r="AK29" s="14"/>
      <c r="AL29" s="1"/>
    </row>
    <row r="30" spans="1:39" x14ac:dyDescent="0.3">
      <c r="A30" s="10" t="s">
        <v>6</v>
      </c>
      <c r="B30" s="120">
        <v>0</v>
      </c>
      <c r="C30" s="178">
        <v>0</v>
      </c>
      <c r="D30" s="178">
        <v>1</v>
      </c>
      <c r="E30" s="178">
        <v>1</v>
      </c>
      <c r="F30" s="178">
        <v>1</v>
      </c>
      <c r="G30" s="178">
        <v>1</v>
      </c>
      <c r="H30" s="178">
        <v>1</v>
      </c>
      <c r="I30" s="178">
        <v>0</v>
      </c>
      <c r="J30" s="178">
        <v>0</v>
      </c>
      <c r="K30" s="178">
        <v>1</v>
      </c>
      <c r="L30" s="178">
        <v>1</v>
      </c>
      <c r="M30" s="178">
        <v>1</v>
      </c>
      <c r="N30" s="178">
        <v>1</v>
      </c>
      <c r="O30" s="178">
        <v>1</v>
      </c>
      <c r="P30" s="178">
        <v>0</v>
      </c>
      <c r="Q30" s="178">
        <v>0</v>
      </c>
      <c r="R30" s="178">
        <v>0</v>
      </c>
      <c r="S30" s="178">
        <v>1</v>
      </c>
      <c r="T30" s="178">
        <v>1</v>
      </c>
      <c r="U30" s="178">
        <v>1</v>
      </c>
      <c r="V30" s="178">
        <v>1</v>
      </c>
      <c r="W30" s="178">
        <v>0</v>
      </c>
      <c r="X30" s="178">
        <v>0</v>
      </c>
      <c r="Y30" s="178">
        <v>1</v>
      </c>
      <c r="Z30" s="178">
        <v>1</v>
      </c>
      <c r="AA30" s="178">
        <v>1</v>
      </c>
      <c r="AB30" s="178">
        <v>1</v>
      </c>
      <c r="AC30" s="178">
        <v>1</v>
      </c>
      <c r="AD30" s="178">
        <v>0</v>
      </c>
      <c r="AE30" s="178">
        <v>0</v>
      </c>
      <c r="AF30" s="149">
        <v>1</v>
      </c>
      <c r="AG30" s="177"/>
      <c r="AH30" s="171"/>
      <c r="AI30" s="176">
        <f>SUM(B30:AF30)</f>
        <v>20</v>
      </c>
      <c r="AJ30" s="2"/>
      <c r="AK30" s="1"/>
      <c r="AL30" s="1"/>
    </row>
    <row r="31" spans="1:39" ht="17.25" thickBot="1" x14ac:dyDescent="0.35">
      <c r="A31" s="10" t="s">
        <v>12</v>
      </c>
      <c r="B31" s="179">
        <f>COUNTIF(B6:B28,"청")</f>
        <v>0</v>
      </c>
      <c r="C31" s="127">
        <f t="shared" ref="C31:AF31" si="5">COUNTIF(C6:C28,"청")</f>
        <v>0</v>
      </c>
      <c r="D31" s="127">
        <f t="shared" si="5"/>
        <v>1</v>
      </c>
      <c r="E31" s="127">
        <f t="shared" si="5"/>
        <v>1</v>
      </c>
      <c r="F31" s="127">
        <f t="shared" si="5"/>
        <v>1</v>
      </c>
      <c r="G31" s="127">
        <f t="shared" si="5"/>
        <v>1</v>
      </c>
      <c r="H31" s="127">
        <f t="shared" si="5"/>
        <v>1</v>
      </c>
      <c r="I31" s="127">
        <f t="shared" si="5"/>
        <v>0</v>
      </c>
      <c r="J31" s="127">
        <f t="shared" si="5"/>
        <v>0</v>
      </c>
      <c r="K31" s="127">
        <f t="shared" si="5"/>
        <v>1</v>
      </c>
      <c r="L31" s="127">
        <f t="shared" si="5"/>
        <v>1</v>
      </c>
      <c r="M31" s="127">
        <f t="shared" si="5"/>
        <v>1</v>
      </c>
      <c r="N31" s="127">
        <f t="shared" si="5"/>
        <v>1</v>
      </c>
      <c r="O31" s="127">
        <f t="shared" si="5"/>
        <v>1</v>
      </c>
      <c r="P31" s="127">
        <f t="shared" si="5"/>
        <v>0</v>
      </c>
      <c r="Q31" s="127">
        <f t="shared" si="5"/>
        <v>0</v>
      </c>
      <c r="R31" s="127">
        <f t="shared" si="5"/>
        <v>0</v>
      </c>
      <c r="S31" s="127">
        <f t="shared" si="5"/>
        <v>1</v>
      </c>
      <c r="T31" s="127">
        <f t="shared" si="5"/>
        <v>1</v>
      </c>
      <c r="U31" s="127">
        <f t="shared" si="5"/>
        <v>1</v>
      </c>
      <c r="V31" s="127">
        <f t="shared" si="5"/>
        <v>1</v>
      </c>
      <c r="W31" s="127">
        <f t="shared" si="5"/>
        <v>0</v>
      </c>
      <c r="X31" s="127">
        <f t="shared" si="5"/>
        <v>0</v>
      </c>
      <c r="Y31" s="127">
        <f t="shared" si="5"/>
        <v>1</v>
      </c>
      <c r="Z31" s="127">
        <f t="shared" si="5"/>
        <v>1</v>
      </c>
      <c r="AA31" s="127">
        <f t="shared" si="5"/>
        <v>1</v>
      </c>
      <c r="AB31" s="127">
        <f t="shared" si="5"/>
        <v>1</v>
      </c>
      <c r="AC31" s="127">
        <f t="shared" si="5"/>
        <v>1</v>
      </c>
      <c r="AD31" s="127">
        <f t="shared" si="5"/>
        <v>0</v>
      </c>
      <c r="AE31" s="127">
        <f t="shared" si="5"/>
        <v>0</v>
      </c>
      <c r="AF31" s="180">
        <f t="shared" si="5"/>
        <v>1</v>
      </c>
      <c r="AG31" s="128"/>
      <c r="AH31" s="278">
        <f>SUM(B31:AF31)</f>
        <v>20</v>
      </c>
      <c r="AI31" s="279"/>
      <c r="AJ31" s="2"/>
      <c r="AK31" s="1"/>
      <c r="AL31" s="1"/>
    </row>
    <row r="32" spans="1:39" x14ac:dyDescent="0.3">
      <c r="A32" s="17"/>
      <c r="B32" s="17"/>
      <c r="C32" s="85"/>
      <c r="D32" s="105"/>
      <c r="E32" s="86"/>
      <c r="F32" s="106"/>
      <c r="G32" s="34"/>
      <c r="H32" s="34"/>
      <c r="I32" s="34"/>
      <c r="J32" s="34"/>
      <c r="K32" s="87"/>
      <c r="T32" s="83"/>
      <c r="AA32" s="34"/>
      <c r="AB32" s="82"/>
    </row>
    <row r="34" spans="1:24" x14ac:dyDescent="0.3">
      <c r="A34" s="17"/>
      <c r="B34" s="315" t="s">
        <v>65</v>
      </c>
      <c r="C34" s="316"/>
      <c r="D34" s="317"/>
      <c r="E34" s="318">
        <v>46249</v>
      </c>
      <c r="F34" s="319"/>
      <c r="G34" s="320"/>
      <c r="H34" s="321">
        <v>46249</v>
      </c>
      <c r="I34" s="322"/>
      <c r="J34" s="323"/>
    </row>
    <row r="35" spans="1:24" x14ac:dyDescent="0.3">
      <c r="A35" s="17"/>
      <c r="B35" s="315" t="s">
        <v>60</v>
      </c>
      <c r="C35" s="316"/>
      <c r="D35" s="317"/>
      <c r="E35" s="318">
        <v>46251</v>
      </c>
      <c r="F35" s="319"/>
      <c r="G35" s="320"/>
      <c r="H35" s="321">
        <v>46251</v>
      </c>
      <c r="I35" s="322"/>
      <c r="J35" s="323"/>
      <c r="X35" t="s">
        <v>185</v>
      </c>
    </row>
    <row r="36" spans="1:24" ht="26.25" x14ac:dyDescent="0.3">
      <c r="A36" s="17"/>
      <c r="B36" s="293"/>
      <c r="C36" s="293"/>
      <c r="D36" s="293"/>
      <c r="E36" s="294"/>
      <c r="F36" s="294"/>
      <c r="G36" s="294"/>
      <c r="H36" s="295"/>
      <c r="I36" s="295"/>
      <c r="J36" s="295"/>
      <c r="X36" s="217" t="s">
        <v>192</v>
      </c>
    </row>
    <row r="37" spans="1:24" x14ac:dyDescent="0.3">
      <c r="B37" s="293"/>
      <c r="C37" s="293"/>
      <c r="D37" s="293"/>
      <c r="E37" s="294"/>
      <c r="F37" s="294"/>
      <c r="G37" s="294"/>
      <c r="H37" s="295"/>
      <c r="I37" s="295"/>
      <c r="J37" s="295"/>
      <c r="M37" s="17"/>
      <c r="N37" s="135"/>
      <c r="O37" s="136"/>
    </row>
    <row r="38" spans="1:24" x14ac:dyDescent="0.3">
      <c r="B38" s="315"/>
      <c r="C38" s="316"/>
      <c r="D38" s="317"/>
      <c r="E38" s="294"/>
      <c r="F38" s="294"/>
      <c r="G38" s="294"/>
      <c r="H38" s="295"/>
      <c r="I38" s="295"/>
      <c r="J38" s="295"/>
      <c r="M38" s="17"/>
      <c r="N38" s="135"/>
      <c r="O38" s="136"/>
      <c r="X38" t="s">
        <v>184</v>
      </c>
    </row>
    <row r="39" spans="1:24" ht="26.25" x14ac:dyDescent="0.3">
      <c r="B39" s="315"/>
      <c r="C39" s="316"/>
      <c r="D39" s="317"/>
      <c r="E39" s="294"/>
      <c r="F39" s="294"/>
      <c r="G39" s="294"/>
      <c r="H39" s="295"/>
      <c r="I39" s="295"/>
      <c r="J39" s="295"/>
      <c r="X39" s="84" t="s">
        <v>191</v>
      </c>
    </row>
  </sheetData>
  <mergeCells count="60">
    <mergeCell ref="T3:T4"/>
    <mergeCell ref="N3:N4"/>
    <mergeCell ref="A1:AI1"/>
    <mergeCell ref="A2:AI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O3:O4"/>
    <mergeCell ref="P3:P4"/>
    <mergeCell ref="Q3:Q4"/>
    <mergeCell ref="R3:R4"/>
    <mergeCell ref="M3:M4"/>
    <mergeCell ref="S3:S4"/>
    <mergeCell ref="E36:G36"/>
    <mergeCell ref="H36:J36"/>
    <mergeCell ref="AH31:AI31"/>
    <mergeCell ref="AG3:AI4"/>
    <mergeCell ref="AA3:AA4"/>
    <mergeCell ref="AB3:AB4"/>
    <mergeCell ref="AC3:AC4"/>
    <mergeCell ref="AD3:AD4"/>
    <mergeCell ref="AE3:AE4"/>
    <mergeCell ref="AF3:AF4"/>
    <mergeCell ref="U3:U4"/>
    <mergeCell ref="V3:V4"/>
    <mergeCell ref="W3:W4"/>
    <mergeCell ref="X3:X4"/>
    <mergeCell ref="Y3:Y4"/>
    <mergeCell ref="Z3:Z4"/>
    <mergeCell ref="B39:D39"/>
    <mergeCell ref="E39:G39"/>
    <mergeCell ref="H39:J39"/>
    <mergeCell ref="B34:D34"/>
    <mergeCell ref="E34:G34"/>
    <mergeCell ref="H34:J34"/>
    <mergeCell ref="B37:D37"/>
    <mergeCell ref="E37:G37"/>
    <mergeCell ref="H37:J37"/>
    <mergeCell ref="B38:D38"/>
    <mergeCell ref="E38:G38"/>
    <mergeCell ref="H38:J38"/>
    <mergeCell ref="B35:D35"/>
    <mergeCell ref="E35:G35"/>
    <mergeCell ref="H35:J35"/>
    <mergeCell ref="B36:D36"/>
    <mergeCell ref="Z27:AC27"/>
    <mergeCell ref="B12:F12"/>
    <mergeCell ref="T15:Y15"/>
    <mergeCell ref="M18:S18"/>
    <mergeCell ref="G20:L20"/>
    <mergeCell ref="B23:AF23"/>
  </mergeCells>
  <phoneticPr fontId="3" type="noConversion"/>
  <conditionalFormatting sqref="B3:AF6 B7:AC7 B8:AF11 G12:AF12 B13:AF14 B15:S15 Z15:AF15 B16:AF17 B18:L18 T18:AF18 B19:AF19 B20:F20 M20:AF20 B21:AF22 B24:AF26 B27:Y27 AD27:AF27 B28:AF31">
    <cfRule type="expression" dxfId="4" priority="1">
      <formula>OR(WEEKDAY(B$3,1)=7,WEEKDAY(B$3,1)=1,B$3=$E$34:$G$39)</formula>
    </cfRule>
  </conditionalFormatting>
  <pageMargins left="0.7" right="0.7" top="0.75" bottom="0.75" header="0.3" footer="0.3"/>
  <pageSetup paperSize="9" scale="68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4BC26-04ED-4AD2-93D7-1C0FBA90D1BD}">
  <sheetPr>
    <pageSetUpPr fitToPage="1"/>
  </sheetPr>
  <dimension ref="A1:AM39"/>
  <sheetViews>
    <sheetView workbookViewId="0">
      <pane ySplit="5" topLeftCell="A21" activePane="bottomLeft" state="frozen"/>
      <selection pane="bottomLeft" activeCell="I43" sqref="I43"/>
    </sheetView>
  </sheetViews>
  <sheetFormatPr defaultRowHeight="16.5" x14ac:dyDescent="0.3"/>
  <cols>
    <col min="1" max="1" width="9.125" bestFit="1" customWidth="1"/>
    <col min="2" max="31" width="3.75" customWidth="1"/>
    <col min="32" max="32" width="3.25" hidden="1" customWidth="1"/>
    <col min="33" max="35" width="3.75" customWidth="1"/>
    <col min="36" max="36" width="12.5" hidden="1" customWidth="1"/>
    <col min="37" max="38" width="11.25" hidden="1" customWidth="1"/>
    <col min="39" max="39" width="10.375" hidden="1" customWidth="1"/>
  </cols>
  <sheetData>
    <row r="1" spans="1:39" x14ac:dyDescent="0.3">
      <c r="A1" s="264" t="s">
        <v>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186"/>
      <c r="AK1" s="1"/>
      <c r="AL1" s="1"/>
    </row>
    <row r="2" spans="1:39" ht="17.25" thickBot="1" x14ac:dyDescent="0.35">
      <c r="A2" s="266" t="s">
        <v>170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187"/>
      <c r="AK2" s="1"/>
      <c r="AL2" s="1"/>
    </row>
    <row r="3" spans="1:39" x14ac:dyDescent="0.3">
      <c r="A3" s="268" t="s">
        <v>1</v>
      </c>
      <c r="B3" s="311">
        <v>46266</v>
      </c>
      <c r="C3" s="309">
        <v>46267</v>
      </c>
      <c r="D3" s="309">
        <v>46268</v>
      </c>
      <c r="E3" s="309">
        <v>46269</v>
      </c>
      <c r="F3" s="309">
        <v>46270</v>
      </c>
      <c r="G3" s="309">
        <v>46271</v>
      </c>
      <c r="H3" s="309">
        <v>46272</v>
      </c>
      <c r="I3" s="309">
        <v>46273</v>
      </c>
      <c r="J3" s="309">
        <v>46274</v>
      </c>
      <c r="K3" s="309">
        <v>46275</v>
      </c>
      <c r="L3" s="309">
        <v>46276</v>
      </c>
      <c r="M3" s="309">
        <v>46277</v>
      </c>
      <c r="N3" s="309">
        <v>46278</v>
      </c>
      <c r="O3" s="309">
        <v>46279</v>
      </c>
      <c r="P3" s="309">
        <v>46280</v>
      </c>
      <c r="Q3" s="309">
        <v>46281</v>
      </c>
      <c r="R3" s="309">
        <v>46282</v>
      </c>
      <c r="S3" s="309">
        <v>46283</v>
      </c>
      <c r="T3" s="309">
        <v>46284</v>
      </c>
      <c r="U3" s="309">
        <v>46285</v>
      </c>
      <c r="V3" s="309">
        <v>46286</v>
      </c>
      <c r="W3" s="309">
        <v>46287</v>
      </c>
      <c r="X3" s="309">
        <v>46288</v>
      </c>
      <c r="Y3" s="309">
        <v>46289</v>
      </c>
      <c r="Z3" s="309">
        <v>46290</v>
      </c>
      <c r="AA3" s="309">
        <v>46291</v>
      </c>
      <c r="AB3" s="309">
        <v>46292</v>
      </c>
      <c r="AC3" s="309">
        <v>46293</v>
      </c>
      <c r="AD3" s="309">
        <v>46294</v>
      </c>
      <c r="AE3" s="309">
        <v>46295</v>
      </c>
      <c r="AF3" s="313"/>
      <c r="AG3" s="296" t="s">
        <v>2</v>
      </c>
      <c r="AH3" s="285"/>
      <c r="AI3" s="286"/>
      <c r="AJ3" s="2"/>
      <c r="AK3" s="1"/>
      <c r="AL3" s="1"/>
    </row>
    <row r="4" spans="1:39" x14ac:dyDescent="0.3">
      <c r="A4" s="269"/>
      <c r="B4" s="312"/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10"/>
      <c r="Z4" s="310"/>
      <c r="AA4" s="310"/>
      <c r="AB4" s="310"/>
      <c r="AC4" s="310"/>
      <c r="AD4" s="310"/>
      <c r="AE4" s="310"/>
      <c r="AF4" s="314"/>
      <c r="AG4" s="297"/>
      <c r="AH4" s="255"/>
      <c r="AI4" s="287"/>
      <c r="AJ4" s="2"/>
      <c r="AK4" s="1"/>
      <c r="AL4" s="1"/>
    </row>
    <row r="5" spans="1:39" ht="17.25" thickBot="1" x14ac:dyDescent="0.35">
      <c r="A5" s="66" t="s">
        <v>3</v>
      </c>
      <c r="B5" s="116">
        <v>46266</v>
      </c>
      <c r="C5" s="43">
        <v>46267</v>
      </c>
      <c r="D5" s="43">
        <v>46268</v>
      </c>
      <c r="E5" s="43">
        <v>46269</v>
      </c>
      <c r="F5" s="43">
        <v>46270</v>
      </c>
      <c r="G5" s="43">
        <v>46271</v>
      </c>
      <c r="H5" s="43">
        <v>46272</v>
      </c>
      <c r="I5" s="43">
        <v>46273</v>
      </c>
      <c r="J5" s="43">
        <v>46274</v>
      </c>
      <c r="K5" s="43">
        <v>46275</v>
      </c>
      <c r="L5" s="43">
        <v>46276</v>
      </c>
      <c r="M5" s="43">
        <v>46277</v>
      </c>
      <c r="N5" s="43">
        <v>46278</v>
      </c>
      <c r="O5" s="43">
        <v>46279</v>
      </c>
      <c r="P5" s="43">
        <v>46280</v>
      </c>
      <c r="Q5" s="43">
        <v>46281</v>
      </c>
      <c r="R5" s="43">
        <v>46282</v>
      </c>
      <c r="S5" s="43">
        <v>46283</v>
      </c>
      <c r="T5" s="43">
        <v>46284</v>
      </c>
      <c r="U5" s="43">
        <v>46285</v>
      </c>
      <c r="V5" s="43">
        <v>46286</v>
      </c>
      <c r="W5" s="43">
        <v>46287</v>
      </c>
      <c r="X5" s="43">
        <v>46288</v>
      </c>
      <c r="Y5" s="43">
        <v>46289</v>
      </c>
      <c r="Z5" s="43">
        <v>46290</v>
      </c>
      <c r="AA5" s="43">
        <v>46291</v>
      </c>
      <c r="AB5" s="43">
        <v>46292</v>
      </c>
      <c r="AC5" s="43">
        <v>46293</v>
      </c>
      <c r="AD5" s="43">
        <v>46294</v>
      </c>
      <c r="AE5" s="43">
        <v>46295</v>
      </c>
      <c r="AF5" s="152"/>
      <c r="AG5" s="192" t="s">
        <v>4</v>
      </c>
      <c r="AH5" s="188" t="s">
        <v>10</v>
      </c>
      <c r="AI5" s="191" t="s">
        <v>6</v>
      </c>
      <c r="AJ5" s="114" t="s">
        <v>7</v>
      </c>
      <c r="AK5" s="6" t="s">
        <v>8</v>
      </c>
      <c r="AL5" s="6" t="s">
        <v>9</v>
      </c>
    </row>
    <row r="6" spans="1:39" ht="17.25" thickTop="1" x14ac:dyDescent="0.3">
      <c r="A6" s="19">
        <v>101</v>
      </c>
      <c r="B6" s="194"/>
      <c r="C6" s="7"/>
      <c r="D6" s="7"/>
      <c r="E6" s="7"/>
      <c r="F6" s="7" t="s">
        <v>10</v>
      </c>
      <c r="G6" s="7"/>
      <c r="H6" s="7"/>
      <c r="I6" s="7"/>
      <c r="J6" s="36"/>
      <c r="K6" s="36"/>
      <c r="L6" s="36"/>
      <c r="M6" s="36" t="s">
        <v>5</v>
      </c>
      <c r="N6" s="7"/>
      <c r="O6" s="36"/>
      <c r="P6" s="36"/>
      <c r="Q6" s="36"/>
      <c r="R6" s="36"/>
      <c r="S6" s="36"/>
      <c r="T6" s="36" t="s">
        <v>5</v>
      </c>
      <c r="U6" s="36"/>
      <c r="V6" s="7"/>
      <c r="W6" s="7"/>
      <c r="X6" s="7" t="s">
        <v>13</v>
      </c>
      <c r="Y6" s="7"/>
      <c r="Z6" s="7"/>
      <c r="AA6" s="7" t="s">
        <v>5</v>
      </c>
      <c r="AB6" s="7"/>
      <c r="AC6" s="7"/>
      <c r="AD6" s="7"/>
      <c r="AE6" s="7"/>
      <c r="AF6" s="195"/>
      <c r="AG6" s="192">
        <f>COUNTIF(B6:AF6,"청")</f>
        <v>1</v>
      </c>
      <c r="AH6" s="9">
        <f>COUNTIF(B6:AF6,"7D")</f>
        <v>4</v>
      </c>
      <c r="AI6" s="122">
        <v>0</v>
      </c>
      <c r="AJ6" s="115">
        <f>'2026.8.'!AL6</f>
        <v>46295</v>
      </c>
      <c r="AK6" s="8">
        <f>IFERROR(INDEX($B$3:$AF$5,1,MATCH("청",B6:AF6,0)),"")</f>
        <v>46288</v>
      </c>
      <c r="AL6" s="8">
        <f>IFERROR(AK6+40,"")</f>
        <v>46328</v>
      </c>
      <c r="AM6" s="81"/>
    </row>
    <row r="7" spans="1:39" x14ac:dyDescent="0.3">
      <c r="A7" s="10">
        <v>102</v>
      </c>
      <c r="B7" s="324" t="s">
        <v>125</v>
      </c>
      <c r="C7" s="325"/>
      <c r="D7" s="326"/>
      <c r="E7" s="193" t="s">
        <v>13</v>
      </c>
      <c r="F7" s="193"/>
      <c r="G7" s="193"/>
      <c r="H7" s="193"/>
      <c r="I7" s="193"/>
      <c r="J7" s="212" t="s">
        <v>5</v>
      </c>
      <c r="K7" s="193"/>
      <c r="L7" s="193"/>
      <c r="M7" s="193"/>
      <c r="N7" s="193"/>
      <c r="O7" s="193"/>
      <c r="P7" s="193"/>
      <c r="Q7" s="212" t="s">
        <v>5</v>
      </c>
      <c r="R7" s="193"/>
      <c r="S7" s="193"/>
      <c r="T7" s="193"/>
      <c r="U7" s="193"/>
      <c r="V7" s="193"/>
      <c r="W7" s="35"/>
      <c r="X7" s="35" t="s">
        <v>5</v>
      </c>
      <c r="Y7" s="35"/>
      <c r="Z7" s="35"/>
      <c r="AA7" s="35"/>
      <c r="AB7" s="35"/>
      <c r="AC7" s="35"/>
      <c r="AD7" s="35"/>
      <c r="AE7" s="243" t="s">
        <v>5</v>
      </c>
      <c r="AF7" s="150"/>
      <c r="AG7" s="45">
        <f t="shared" ref="AG7:AG28" si="0">COUNTIF(B7:AF7,"청")</f>
        <v>1</v>
      </c>
      <c r="AH7" s="44">
        <f t="shared" ref="AH7:AH28" si="1">COUNTIF(B7:AF7,"7D")</f>
        <v>4</v>
      </c>
      <c r="AI7" s="121">
        <v>0</v>
      </c>
      <c r="AJ7" s="115">
        <f>'2026.8.'!AL7</f>
        <v>46263</v>
      </c>
      <c r="AK7" s="8">
        <f t="shared" ref="AK7:AK28" si="2">IFERROR(INDEX($B$3:$AF$5,1,MATCH("청",B7:AF7,0)),"")</f>
        <v>46269</v>
      </c>
      <c r="AL7" s="8">
        <f t="shared" ref="AL7:AL28" si="3">IFERROR(AK7+40,"")</f>
        <v>46309</v>
      </c>
      <c r="AM7" s="81"/>
    </row>
    <row r="8" spans="1:39" x14ac:dyDescent="0.3">
      <c r="A8" s="10">
        <v>103</v>
      </c>
      <c r="B8" s="120"/>
      <c r="C8" s="35"/>
      <c r="D8" s="35"/>
      <c r="E8" s="35" t="s">
        <v>5</v>
      </c>
      <c r="F8" s="35"/>
      <c r="G8" s="193"/>
      <c r="H8" s="193"/>
      <c r="I8" s="193"/>
      <c r="J8" s="193"/>
      <c r="K8" s="193"/>
      <c r="L8" s="212" t="s">
        <v>5</v>
      </c>
      <c r="M8" s="193"/>
      <c r="N8" s="193"/>
      <c r="O8" s="193"/>
      <c r="P8" s="35"/>
      <c r="Q8" s="35"/>
      <c r="R8" s="35"/>
      <c r="S8" s="35" t="s">
        <v>5</v>
      </c>
      <c r="T8" s="193"/>
      <c r="U8" s="193"/>
      <c r="V8" s="193"/>
      <c r="W8" s="193"/>
      <c r="X8" s="193"/>
      <c r="Y8" s="193"/>
      <c r="Z8" s="212" t="s">
        <v>5</v>
      </c>
      <c r="AA8" s="193"/>
      <c r="AB8" s="193"/>
      <c r="AC8" s="193"/>
      <c r="AD8" s="193"/>
      <c r="AE8" s="193"/>
      <c r="AF8" s="149"/>
      <c r="AG8" s="192">
        <f t="shared" si="0"/>
        <v>0</v>
      </c>
      <c r="AH8" s="9">
        <f t="shared" si="1"/>
        <v>4</v>
      </c>
      <c r="AI8" s="122">
        <v>0</v>
      </c>
      <c r="AJ8" s="115">
        <f>'2026.8.'!AL8</f>
        <v>46301</v>
      </c>
      <c r="AK8" s="8" t="str">
        <f t="shared" si="2"/>
        <v/>
      </c>
      <c r="AL8" s="8">
        <f>AJ8</f>
        <v>46301</v>
      </c>
      <c r="AM8" s="81"/>
    </row>
    <row r="9" spans="1:39" x14ac:dyDescent="0.3">
      <c r="A9" s="10">
        <v>104</v>
      </c>
      <c r="B9" s="120"/>
      <c r="C9" s="193"/>
      <c r="D9" s="212" t="s">
        <v>5</v>
      </c>
      <c r="E9" s="193"/>
      <c r="F9" s="193"/>
      <c r="G9" s="193"/>
      <c r="H9" s="193"/>
      <c r="I9" s="193"/>
      <c r="J9" s="193"/>
      <c r="K9" s="212" t="s">
        <v>5</v>
      </c>
      <c r="L9" s="193"/>
      <c r="M9" s="193"/>
      <c r="N9" s="35"/>
      <c r="O9" s="35"/>
      <c r="P9" s="35"/>
      <c r="Q9" s="35"/>
      <c r="R9" s="35" t="s">
        <v>5</v>
      </c>
      <c r="S9" s="35"/>
      <c r="T9" s="193"/>
      <c r="U9" s="35"/>
      <c r="V9" s="35"/>
      <c r="W9" s="35"/>
      <c r="X9" s="35"/>
      <c r="Y9" s="212" t="s">
        <v>5</v>
      </c>
      <c r="Z9" s="193"/>
      <c r="AA9" s="193"/>
      <c r="AB9" s="193"/>
      <c r="AC9" s="193"/>
      <c r="AD9" s="193" t="s">
        <v>13</v>
      </c>
      <c r="AE9" s="193"/>
      <c r="AF9" s="149"/>
      <c r="AG9" s="192">
        <f t="shared" si="0"/>
        <v>1</v>
      </c>
      <c r="AH9" s="9">
        <f t="shared" si="1"/>
        <v>4</v>
      </c>
      <c r="AI9" s="122">
        <v>0</v>
      </c>
      <c r="AJ9" s="115">
        <f>'2026.8.'!AL9</f>
        <v>46300</v>
      </c>
      <c r="AK9" s="8">
        <f t="shared" si="2"/>
        <v>46294</v>
      </c>
      <c r="AL9" s="8">
        <f t="shared" si="3"/>
        <v>46334</v>
      </c>
    </row>
    <row r="10" spans="1:39" x14ac:dyDescent="0.3">
      <c r="A10" s="10">
        <v>105</v>
      </c>
      <c r="B10" s="120"/>
      <c r="C10" s="193"/>
      <c r="D10" s="35"/>
      <c r="E10" s="254" t="s">
        <v>87</v>
      </c>
      <c r="F10" s="254"/>
      <c r="G10" s="254"/>
      <c r="H10" s="254"/>
      <c r="I10" s="254"/>
      <c r="J10" s="249"/>
      <c r="K10" s="193" t="s">
        <v>13</v>
      </c>
      <c r="L10" s="193"/>
      <c r="M10" s="193"/>
      <c r="N10" s="193"/>
      <c r="O10" s="193"/>
      <c r="P10" s="212" t="s">
        <v>5</v>
      </c>
      <c r="Q10" s="193"/>
      <c r="R10" s="193"/>
      <c r="S10" s="193"/>
      <c r="T10" s="193"/>
      <c r="U10" s="193"/>
      <c r="V10" s="193"/>
      <c r="W10" s="212" t="s">
        <v>5</v>
      </c>
      <c r="X10" s="193"/>
      <c r="Y10" s="193"/>
      <c r="Z10" s="193"/>
      <c r="AA10" s="193"/>
      <c r="AB10" s="193"/>
      <c r="AC10" s="35"/>
      <c r="AD10" s="35" t="s">
        <v>5</v>
      </c>
      <c r="AE10" s="35"/>
      <c r="AF10" s="149"/>
      <c r="AG10" s="192">
        <f t="shared" si="0"/>
        <v>1</v>
      </c>
      <c r="AH10" s="9">
        <f t="shared" si="1"/>
        <v>3</v>
      </c>
      <c r="AI10" s="122">
        <v>0</v>
      </c>
      <c r="AJ10" s="115">
        <f>'2026.8.'!AL10</f>
        <v>46288</v>
      </c>
      <c r="AK10" s="8">
        <f t="shared" si="2"/>
        <v>46275</v>
      </c>
      <c r="AL10" s="8">
        <f t="shared" si="3"/>
        <v>46315</v>
      </c>
      <c r="AM10" s="80"/>
    </row>
    <row r="11" spans="1:39" x14ac:dyDescent="0.3">
      <c r="A11" s="10">
        <v>106</v>
      </c>
      <c r="B11" s="137"/>
      <c r="C11" s="35" t="s">
        <v>13</v>
      </c>
      <c r="D11" s="35"/>
      <c r="E11" s="35" t="s">
        <v>5</v>
      </c>
      <c r="F11" s="35"/>
      <c r="G11" s="35"/>
      <c r="H11" s="35"/>
      <c r="I11" s="35"/>
      <c r="J11" s="35"/>
      <c r="K11" s="35"/>
      <c r="L11" s="35" t="s">
        <v>5</v>
      </c>
      <c r="M11" s="193"/>
      <c r="N11" s="193"/>
      <c r="O11" s="193"/>
      <c r="P11" s="193"/>
      <c r="Q11" s="193"/>
      <c r="R11" s="193"/>
      <c r="S11" s="212" t="s">
        <v>5</v>
      </c>
      <c r="T11" s="193"/>
      <c r="U11" s="193"/>
      <c r="V11" s="193"/>
      <c r="W11" s="35"/>
      <c r="X11" s="35"/>
      <c r="Y11" s="35"/>
      <c r="Z11" s="35" t="s">
        <v>5</v>
      </c>
      <c r="AA11" s="193"/>
      <c r="AB11" s="193"/>
      <c r="AC11" s="193"/>
      <c r="AD11" s="193"/>
      <c r="AE11" s="193"/>
      <c r="AF11" s="149"/>
      <c r="AG11" s="192">
        <f t="shared" si="0"/>
        <v>1</v>
      </c>
      <c r="AH11" s="9">
        <f t="shared" si="1"/>
        <v>4</v>
      </c>
      <c r="AI11" s="122">
        <v>0</v>
      </c>
      <c r="AJ11" s="115">
        <f>'2026.8.'!AL11</f>
        <v>46272</v>
      </c>
      <c r="AK11" s="8">
        <f t="shared" si="2"/>
        <v>46267</v>
      </c>
      <c r="AL11" s="8">
        <f t="shared" si="3"/>
        <v>46307</v>
      </c>
    </row>
    <row r="12" spans="1:39" x14ac:dyDescent="0.3">
      <c r="A12" s="10">
        <v>107</v>
      </c>
      <c r="B12" s="137" t="s">
        <v>5</v>
      </c>
      <c r="C12" s="35"/>
      <c r="D12" s="35" t="s">
        <v>13</v>
      </c>
      <c r="E12" s="35"/>
      <c r="F12" s="193"/>
      <c r="G12" s="193"/>
      <c r="H12" s="193"/>
      <c r="I12" s="212" t="s">
        <v>5</v>
      </c>
      <c r="J12" s="193"/>
      <c r="K12" s="35"/>
      <c r="L12" s="35"/>
      <c r="M12" s="35"/>
      <c r="N12" s="35"/>
      <c r="O12" s="35"/>
      <c r="P12" s="35" t="s">
        <v>5</v>
      </c>
      <c r="Q12" s="35"/>
      <c r="R12" s="35"/>
      <c r="S12" s="35"/>
      <c r="T12" s="35"/>
      <c r="U12" s="35"/>
      <c r="V12" s="35"/>
      <c r="W12" s="35" t="s">
        <v>5</v>
      </c>
      <c r="X12" s="35"/>
      <c r="Y12" s="35"/>
      <c r="Z12" s="35"/>
      <c r="AA12" s="35"/>
      <c r="AB12" s="35"/>
      <c r="AC12" s="35"/>
      <c r="AD12" s="212" t="s">
        <v>5</v>
      </c>
      <c r="AE12" s="74"/>
      <c r="AF12" s="196"/>
      <c r="AG12" s="192">
        <f t="shared" si="0"/>
        <v>1</v>
      </c>
      <c r="AH12" s="9">
        <f t="shared" si="1"/>
        <v>5</v>
      </c>
      <c r="AI12" s="122">
        <v>0</v>
      </c>
      <c r="AJ12" s="115">
        <f>'2026.8.'!AL12</f>
        <v>46280</v>
      </c>
      <c r="AK12" s="8">
        <f t="shared" si="2"/>
        <v>46268</v>
      </c>
      <c r="AL12" s="8">
        <f t="shared" si="3"/>
        <v>46308</v>
      </c>
      <c r="AM12" s="81"/>
    </row>
    <row r="13" spans="1:39" x14ac:dyDescent="0.3">
      <c r="A13" s="10">
        <v>108</v>
      </c>
      <c r="B13" s="120"/>
      <c r="C13" s="193"/>
      <c r="D13" s="212" t="s">
        <v>5</v>
      </c>
      <c r="E13" s="193"/>
      <c r="F13" s="193"/>
      <c r="G13" s="193"/>
      <c r="H13" s="193" t="s">
        <v>13</v>
      </c>
      <c r="I13" s="193"/>
      <c r="J13" s="193"/>
      <c r="K13" s="212" t="s">
        <v>5</v>
      </c>
      <c r="L13" s="193"/>
      <c r="M13" s="193"/>
      <c r="N13" s="193"/>
      <c r="O13" s="193"/>
      <c r="P13" s="193"/>
      <c r="Q13" s="193"/>
      <c r="R13" s="212" t="s">
        <v>5</v>
      </c>
      <c r="S13" s="193"/>
      <c r="T13" s="193"/>
      <c r="U13" s="193"/>
      <c r="V13" s="193"/>
      <c r="W13" s="193"/>
      <c r="X13" s="212" t="s">
        <v>5</v>
      </c>
      <c r="Y13" s="193"/>
      <c r="Z13" s="193"/>
      <c r="AA13" s="193"/>
      <c r="AB13" s="193"/>
      <c r="AC13" s="193"/>
      <c r="AD13" s="193"/>
      <c r="AE13" s="197">
        <v>108</v>
      </c>
      <c r="AF13" s="149"/>
      <c r="AG13" s="192">
        <f t="shared" si="0"/>
        <v>1</v>
      </c>
      <c r="AH13" s="9">
        <f t="shared" si="1"/>
        <v>4</v>
      </c>
      <c r="AI13" s="122">
        <v>0</v>
      </c>
      <c r="AJ13" s="115">
        <f>'2026.8.'!AL13</f>
        <v>46279</v>
      </c>
      <c r="AK13" s="8">
        <f t="shared" si="2"/>
        <v>46272</v>
      </c>
      <c r="AL13" s="8">
        <f t="shared" si="3"/>
        <v>46312</v>
      </c>
      <c r="AM13" s="80"/>
    </row>
    <row r="14" spans="1:39" x14ac:dyDescent="0.3">
      <c r="A14" s="10">
        <v>109</v>
      </c>
      <c r="B14" s="120" t="s">
        <v>10</v>
      </c>
      <c r="C14" s="212"/>
      <c r="D14" s="193"/>
      <c r="E14" s="193"/>
      <c r="F14" s="193"/>
      <c r="G14" s="193"/>
      <c r="H14" s="193"/>
      <c r="I14" s="193" t="s">
        <v>13</v>
      </c>
      <c r="J14" s="212" t="s">
        <v>5</v>
      </c>
      <c r="K14" s="193"/>
      <c r="L14" s="193"/>
      <c r="M14" s="35"/>
      <c r="N14" s="35"/>
      <c r="O14" s="35"/>
      <c r="P14" s="35"/>
      <c r="Q14" s="35" t="s">
        <v>5</v>
      </c>
      <c r="R14" s="35"/>
      <c r="S14" s="35"/>
      <c r="T14" s="35"/>
      <c r="U14" s="35"/>
      <c r="V14" s="193"/>
      <c r="W14" s="193"/>
      <c r="X14" s="212" t="s">
        <v>5</v>
      </c>
      <c r="Y14" s="193"/>
      <c r="Z14" s="193"/>
      <c r="AA14" s="35"/>
      <c r="AB14" s="35"/>
      <c r="AC14" s="35"/>
      <c r="AD14" s="35"/>
      <c r="AE14" s="243" t="s">
        <v>5</v>
      </c>
      <c r="AF14" s="149"/>
      <c r="AG14" s="192">
        <f t="shared" si="0"/>
        <v>1</v>
      </c>
      <c r="AH14" s="9">
        <f t="shared" si="1"/>
        <v>5</v>
      </c>
      <c r="AI14" s="122">
        <v>0</v>
      </c>
      <c r="AJ14" s="115">
        <f>'2026.8.'!AL14</f>
        <v>46281</v>
      </c>
      <c r="AK14" s="8">
        <f t="shared" si="2"/>
        <v>46273</v>
      </c>
      <c r="AL14" s="8">
        <f t="shared" si="3"/>
        <v>46313</v>
      </c>
    </row>
    <row r="15" spans="1:39" x14ac:dyDescent="0.3">
      <c r="A15" s="10">
        <v>110</v>
      </c>
      <c r="B15" s="137"/>
      <c r="C15" s="35"/>
      <c r="D15" s="35"/>
      <c r="E15" s="35"/>
      <c r="F15" s="212" t="s">
        <v>5</v>
      </c>
      <c r="G15" s="193"/>
      <c r="H15" s="193"/>
      <c r="I15" s="193"/>
      <c r="J15" s="193"/>
      <c r="K15" s="35"/>
      <c r="L15" s="35"/>
      <c r="M15" s="35" t="s">
        <v>5</v>
      </c>
      <c r="N15" s="35"/>
      <c r="O15" s="35"/>
      <c r="P15" s="35"/>
      <c r="Q15" s="193"/>
      <c r="R15" s="193"/>
      <c r="S15" s="35"/>
      <c r="T15" s="35" t="s">
        <v>5</v>
      </c>
      <c r="U15" s="35"/>
      <c r="V15" s="35"/>
      <c r="W15" s="193"/>
      <c r="X15" s="193"/>
      <c r="Y15" s="193"/>
      <c r="Z15" s="193"/>
      <c r="AA15" s="212" t="s">
        <v>5</v>
      </c>
      <c r="AB15" s="193"/>
      <c r="AC15" s="193" t="s">
        <v>13</v>
      </c>
      <c r="AD15" s="193"/>
      <c r="AE15" s="193"/>
      <c r="AF15" s="149"/>
      <c r="AG15" s="192">
        <f t="shared" si="0"/>
        <v>1</v>
      </c>
      <c r="AH15" s="9">
        <f t="shared" si="1"/>
        <v>4</v>
      </c>
      <c r="AI15" s="122">
        <v>0</v>
      </c>
      <c r="AJ15" s="115">
        <f>'2026.8.'!AL15</f>
        <v>46299</v>
      </c>
      <c r="AK15" s="8">
        <f t="shared" si="2"/>
        <v>46293</v>
      </c>
      <c r="AL15" s="8">
        <f t="shared" si="3"/>
        <v>46333</v>
      </c>
    </row>
    <row r="16" spans="1:39" x14ac:dyDescent="0.3">
      <c r="A16" s="10">
        <v>111</v>
      </c>
      <c r="B16" s="120"/>
      <c r="C16" s="212" t="s">
        <v>5</v>
      </c>
      <c r="D16" s="193"/>
      <c r="E16" s="193"/>
      <c r="F16" s="193"/>
      <c r="G16" s="193"/>
      <c r="H16" s="193"/>
      <c r="I16" s="193"/>
      <c r="J16" s="212" t="s">
        <v>5</v>
      </c>
      <c r="K16" s="193"/>
      <c r="L16" s="193"/>
      <c r="M16" s="193"/>
      <c r="N16" s="193"/>
      <c r="O16" s="193"/>
      <c r="P16" s="35"/>
      <c r="Q16" s="254" t="s">
        <v>94</v>
      </c>
      <c r="R16" s="254"/>
      <c r="S16" s="254"/>
      <c r="T16" s="254"/>
      <c r="U16" s="254"/>
      <c r="V16" s="249"/>
      <c r="W16" s="35" t="s">
        <v>13</v>
      </c>
      <c r="X16" s="35"/>
      <c r="Y16" s="35"/>
      <c r="Z16" s="35"/>
      <c r="AA16" s="35"/>
      <c r="AB16" s="193" t="s">
        <v>10</v>
      </c>
      <c r="AC16" s="193"/>
      <c r="AD16" s="193"/>
      <c r="AE16" s="193"/>
      <c r="AF16" s="149"/>
      <c r="AG16" s="192">
        <f t="shared" si="0"/>
        <v>1</v>
      </c>
      <c r="AH16" s="9">
        <f t="shared" si="1"/>
        <v>3</v>
      </c>
      <c r="AI16" s="122">
        <v>0</v>
      </c>
      <c r="AJ16" s="115">
        <f>'2026.8.'!AL16</f>
        <v>46298</v>
      </c>
      <c r="AK16" s="8">
        <f t="shared" si="2"/>
        <v>46287</v>
      </c>
      <c r="AL16" s="8">
        <f t="shared" si="3"/>
        <v>46327</v>
      </c>
    </row>
    <row r="17" spans="1:39" x14ac:dyDescent="0.3">
      <c r="A17" s="10">
        <v>112</v>
      </c>
      <c r="B17" s="120" t="s">
        <v>5</v>
      </c>
      <c r="C17" s="35"/>
      <c r="D17" s="35"/>
      <c r="E17" s="35"/>
      <c r="F17" s="35"/>
      <c r="G17" s="35"/>
      <c r="H17" s="35"/>
      <c r="I17" s="212" t="s">
        <v>5</v>
      </c>
      <c r="J17" s="193" t="s">
        <v>13</v>
      </c>
      <c r="K17" s="193"/>
      <c r="L17" s="193"/>
      <c r="M17" s="193"/>
      <c r="N17" s="193"/>
      <c r="O17" s="193"/>
      <c r="P17" s="212" t="s">
        <v>5</v>
      </c>
      <c r="Q17" s="193"/>
      <c r="R17" s="193"/>
      <c r="S17" s="193"/>
      <c r="T17" s="193"/>
      <c r="U17" s="193"/>
      <c r="V17" s="193"/>
      <c r="W17" s="212" t="s">
        <v>5</v>
      </c>
      <c r="X17" s="35"/>
      <c r="Y17" s="35"/>
      <c r="Z17" s="35"/>
      <c r="AA17" s="35"/>
      <c r="AB17" s="193"/>
      <c r="AC17" s="193"/>
      <c r="AD17" s="212" t="s">
        <v>5</v>
      </c>
      <c r="AE17" s="193"/>
      <c r="AF17" s="149"/>
      <c r="AG17" s="192">
        <f t="shared" si="0"/>
        <v>1</v>
      </c>
      <c r="AH17" s="9">
        <f t="shared" si="1"/>
        <v>5</v>
      </c>
      <c r="AI17" s="122">
        <v>0</v>
      </c>
      <c r="AJ17" s="115">
        <f>'2026.8.'!AL17</f>
        <v>46284</v>
      </c>
      <c r="AK17" s="8">
        <f t="shared" si="2"/>
        <v>46274</v>
      </c>
      <c r="AL17" s="8">
        <f t="shared" si="3"/>
        <v>46314</v>
      </c>
      <c r="AM17" s="81"/>
    </row>
    <row r="18" spans="1:39" x14ac:dyDescent="0.3">
      <c r="A18" s="10">
        <v>113</v>
      </c>
      <c r="B18" s="120"/>
      <c r="C18" s="193"/>
      <c r="D18" s="193"/>
      <c r="E18" s="212"/>
      <c r="F18" s="35" t="s">
        <v>10</v>
      </c>
      <c r="G18" s="35"/>
      <c r="H18" s="35"/>
      <c r="I18" s="35"/>
      <c r="J18" s="35"/>
      <c r="K18" s="35"/>
      <c r="L18" s="35" t="s">
        <v>5</v>
      </c>
      <c r="M18" s="35"/>
      <c r="N18" s="35"/>
      <c r="O18" s="35"/>
      <c r="P18" s="193"/>
      <c r="Q18" s="193"/>
      <c r="R18" s="193" t="s">
        <v>13</v>
      </c>
      <c r="S18" s="212" t="s">
        <v>5</v>
      </c>
      <c r="T18" s="193"/>
      <c r="U18" s="193"/>
      <c r="V18" s="193"/>
      <c r="W18" s="193"/>
      <c r="X18" s="193"/>
      <c r="Y18" s="212" t="s">
        <v>5</v>
      </c>
      <c r="Z18" s="193"/>
      <c r="AA18" s="193"/>
      <c r="AB18" s="193"/>
      <c r="AC18" s="193"/>
      <c r="AD18" s="193"/>
      <c r="AE18" s="193"/>
      <c r="AF18" s="149"/>
      <c r="AG18" s="192">
        <f t="shared" si="0"/>
        <v>1</v>
      </c>
      <c r="AH18" s="9">
        <f t="shared" si="1"/>
        <v>4</v>
      </c>
      <c r="AI18" s="122">
        <v>0</v>
      </c>
      <c r="AJ18" s="115">
        <f>'2026.8.'!AL18</f>
        <v>46293</v>
      </c>
      <c r="AK18" s="8">
        <f t="shared" si="2"/>
        <v>46282</v>
      </c>
      <c r="AL18" s="8">
        <f t="shared" si="3"/>
        <v>46322</v>
      </c>
    </row>
    <row r="19" spans="1:39" x14ac:dyDescent="0.3">
      <c r="A19" s="10">
        <v>114</v>
      </c>
      <c r="B19" s="140"/>
      <c r="C19" s="138"/>
      <c r="D19" s="138"/>
      <c r="E19" s="138"/>
      <c r="F19" s="193"/>
      <c r="G19" s="212" t="s">
        <v>5</v>
      </c>
      <c r="H19" s="193"/>
      <c r="I19" s="193"/>
      <c r="J19" s="193"/>
      <c r="K19" s="193"/>
      <c r="L19" s="193"/>
      <c r="M19" s="193"/>
      <c r="N19" s="212" t="s">
        <v>5</v>
      </c>
      <c r="O19" s="193" t="s">
        <v>13</v>
      </c>
      <c r="P19" s="193"/>
      <c r="Q19" s="193"/>
      <c r="R19" s="193"/>
      <c r="S19" s="193"/>
      <c r="T19" s="193"/>
      <c r="U19" s="212" t="s">
        <v>5</v>
      </c>
      <c r="V19" s="193"/>
      <c r="W19" s="193"/>
      <c r="X19" s="193"/>
      <c r="Y19" s="193"/>
      <c r="Z19" s="193"/>
      <c r="AA19" s="193"/>
      <c r="AB19" s="212" t="s">
        <v>5</v>
      </c>
      <c r="AC19" s="193"/>
      <c r="AD19" s="35"/>
      <c r="AE19" s="35"/>
      <c r="AF19" s="150"/>
      <c r="AG19" s="192">
        <f t="shared" si="0"/>
        <v>1</v>
      </c>
      <c r="AH19" s="9">
        <f t="shared" si="1"/>
        <v>4</v>
      </c>
      <c r="AI19" s="122">
        <v>0</v>
      </c>
      <c r="AJ19" s="115">
        <f>'2026.8.'!AL19</f>
        <v>46285</v>
      </c>
      <c r="AK19" s="8">
        <f t="shared" si="2"/>
        <v>46279</v>
      </c>
      <c r="AL19" s="8">
        <f t="shared" si="3"/>
        <v>46319</v>
      </c>
      <c r="AM19" s="81"/>
    </row>
    <row r="20" spans="1:39" x14ac:dyDescent="0.3">
      <c r="A20" s="10">
        <v>115</v>
      </c>
      <c r="B20" s="137"/>
      <c r="C20" s="35"/>
      <c r="D20" s="35"/>
      <c r="E20" s="35"/>
      <c r="F20" s="35"/>
      <c r="G20" s="35"/>
      <c r="H20" s="35" t="s">
        <v>5</v>
      </c>
      <c r="I20" s="35"/>
      <c r="J20" s="35"/>
      <c r="K20" s="35"/>
      <c r="L20" s="35" t="s">
        <v>13</v>
      </c>
      <c r="M20" s="35"/>
      <c r="N20" s="35"/>
      <c r="O20" s="35" t="s">
        <v>5</v>
      </c>
      <c r="P20" s="35"/>
      <c r="Q20" s="35"/>
      <c r="R20" s="35"/>
      <c r="S20" s="35"/>
      <c r="T20" s="35"/>
      <c r="U20" s="35"/>
      <c r="V20" s="35" t="s">
        <v>5</v>
      </c>
      <c r="W20" s="35"/>
      <c r="X20" s="35"/>
      <c r="Y20" s="35"/>
      <c r="Z20" s="35"/>
      <c r="AA20" s="35"/>
      <c r="AB20" s="35"/>
      <c r="AC20" s="35" t="s">
        <v>5</v>
      </c>
      <c r="AD20" s="35"/>
      <c r="AE20" s="35"/>
      <c r="AF20" s="149"/>
      <c r="AG20" s="192">
        <f t="shared" si="0"/>
        <v>1</v>
      </c>
      <c r="AH20" s="9">
        <f t="shared" si="1"/>
        <v>4</v>
      </c>
      <c r="AI20" s="122">
        <v>0</v>
      </c>
      <c r="AJ20" s="115">
        <f>'2026.8.'!AL20</f>
        <v>46286</v>
      </c>
      <c r="AK20" s="8">
        <f t="shared" si="2"/>
        <v>46276</v>
      </c>
      <c r="AL20" s="8">
        <f t="shared" si="3"/>
        <v>46316</v>
      </c>
    </row>
    <row r="21" spans="1:39" x14ac:dyDescent="0.3">
      <c r="A21" s="10">
        <v>116</v>
      </c>
      <c r="B21" s="120"/>
      <c r="C21" s="35" t="s">
        <v>5</v>
      </c>
      <c r="D21" s="35"/>
      <c r="E21" s="35"/>
      <c r="F21" s="35"/>
      <c r="G21" s="35"/>
      <c r="H21" s="35"/>
      <c r="I21" s="35" t="s">
        <v>5</v>
      </c>
      <c r="J21" s="35"/>
      <c r="K21" s="35"/>
      <c r="L21" s="35"/>
      <c r="M21" s="35"/>
      <c r="N21" s="35"/>
      <c r="O21" s="35"/>
      <c r="P21" s="35"/>
      <c r="Q21" s="35" t="s">
        <v>5</v>
      </c>
      <c r="R21" s="35"/>
      <c r="S21" s="35"/>
      <c r="T21" s="35"/>
      <c r="U21" s="35"/>
      <c r="V21" s="35"/>
      <c r="W21" s="254" t="s">
        <v>171</v>
      </c>
      <c r="X21" s="254"/>
      <c r="Y21" s="254"/>
      <c r="Z21" s="254"/>
      <c r="AA21" s="254"/>
      <c r="AB21" s="254"/>
      <c r="AC21" s="254"/>
      <c r="AD21" s="249"/>
      <c r="AE21" s="243" t="s">
        <v>13</v>
      </c>
      <c r="AF21" s="149"/>
      <c r="AG21" s="45">
        <f t="shared" si="0"/>
        <v>1</v>
      </c>
      <c r="AH21" s="9">
        <f t="shared" si="1"/>
        <v>3</v>
      </c>
      <c r="AI21" s="122">
        <v>0</v>
      </c>
      <c r="AJ21" s="115">
        <f>'2026.8.'!AL21</f>
        <v>46302</v>
      </c>
      <c r="AK21" s="8">
        <f t="shared" si="2"/>
        <v>46295</v>
      </c>
      <c r="AL21" s="8">
        <f t="shared" si="3"/>
        <v>46335</v>
      </c>
    </row>
    <row r="22" spans="1:39" x14ac:dyDescent="0.3">
      <c r="A22" s="10">
        <v>117</v>
      </c>
      <c r="B22" s="137"/>
      <c r="C22" s="35"/>
      <c r="D22" s="35"/>
      <c r="E22" s="35"/>
      <c r="F22" s="35"/>
      <c r="G22" s="35" t="s">
        <v>5</v>
      </c>
      <c r="H22" s="35"/>
      <c r="I22" s="35"/>
      <c r="J22" s="35"/>
      <c r="K22" s="35"/>
      <c r="L22" s="35"/>
      <c r="M22" s="35"/>
      <c r="N22" s="35" t="s">
        <v>5</v>
      </c>
      <c r="O22" s="35"/>
      <c r="P22" s="35" t="s">
        <v>13</v>
      </c>
      <c r="Q22" s="35"/>
      <c r="R22" s="35"/>
      <c r="S22" s="35"/>
      <c r="T22" s="35"/>
      <c r="U22" s="35" t="s">
        <v>5</v>
      </c>
      <c r="V22" s="35"/>
      <c r="W22" s="35"/>
      <c r="X22" s="35"/>
      <c r="Y22" s="35"/>
      <c r="Z22" s="35"/>
      <c r="AA22" s="35"/>
      <c r="AB22" s="35" t="s">
        <v>5</v>
      </c>
      <c r="AC22" s="35"/>
      <c r="AD22" s="35"/>
      <c r="AE22" s="35"/>
      <c r="AF22" s="149"/>
      <c r="AG22" s="192">
        <f t="shared" si="0"/>
        <v>1</v>
      </c>
      <c r="AH22" s="9">
        <f t="shared" si="1"/>
        <v>4</v>
      </c>
      <c r="AI22" s="122">
        <v>0</v>
      </c>
      <c r="AJ22" s="115">
        <f>'2026.8.'!AL22</f>
        <v>46287</v>
      </c>
      <c r="AK22" s="8">
        <f t="shared" si="2"/>
        <v>46280</v>
      </c>
      <c r="AL22" s="8">
        <f t="shared" si="3"/>
        <v>46320</v>
      </c>
      <c r="AM22" s="81"/>
    </row>
    <row r="23" spans="1:39" x14ac:dyDescent="0.3">
      <c r="A23" s="10">
        <v>118</v>
      </c>
      <c r="B23" s="137" t="s">
        <v>13</v>
      </c>
      <c r="C23" s="35"/>
      <c r="D23" s="35"/>
      <c r="E23" s="35"/>
      <c r="F23" s="35"/>
      <c r="G23" s="35" t="s">
        <v>10</v>
      </c>
      <c r="H23" s="35"/>
      <c r="I23" s="35"/>
      <c r="J23" s="35"/>
      <c r="K23" s="35"/>
      <c r="L23" s="35"/>
      <c r="M23" s="35" t="s">
        <v>5</v>
      </c>
      <c r="N23" s="35"/>
      <c r="O23" s="35"/>
      <c r="P23" s="35"/>
      <c r="Q23" s="35"/>
      <c r="R23" s="35"/>
      <c r="S23" s="35"/>
      <c r="T23" s="35" t="s">
        <v>5</v>
      </c>
      <c r="U23" s="35"/>
      <c r="V23" s="35"/>
      <c r="W23" s="35"/>
      <c r="X23" s="35"/>
      <c r="Y23" s="35"/>
      <c r="Z23" s="35" t="s">
        <v>10</v>
      </c>
      <c r="AA23" s="35"/>
      <c r="AB23" s="35"/>
      <c r="AC23" s="35"/>
      <c r="AD23" s="193"/>
      <c r="AE23" s="193"/>
      <c r="AF23" s="149"/>
      <c r="AG23" s="192">
        <f t="shared" si="0"/>
        <v>1</v>
      </c>
      <c r="AH23" s="9">
        <f t="shared" si="1"/>
        <v>4</v>
      </c>
      <c r="AI23" s="122">
        <v>0</v>
      </c>
      <c r="AJ23" s="115">
        <f>'2026.8.'!AL23</f>
        <v>46228</v>
      </c>
      <c r="AK23" s="8">
        <f t="shared" si="2"/>
        <v>46266</v>
      </c>
      <c r="AL23" s="8">
        <f t="shared" si="3"/>
        <v>46306</v>
      </c>
      <c r="AM23" s="80"/>
    </row>
    <row r="24" spans="1:39" x14ac:dyDescent="0.3">
      <c r="A24" s="10">
        <v>119</v>
      </c>
      <c r="B24" s="120"/>
      <c r="C24" s="35"/>
      <c r="D24" s="327" t="s">
        <v>193</v>
      </c>
      <c r="E24" s="327"/>
      <c r="F24" s="327"/>
      <c r="G24" s="327"/>
      <c r="H24" s="327"/>
      <c r="I24" s="327"/>
      <c r="J24" s="327"/>
      <c r="K24" s="327"/>
      <c r="L24" s="327"/>
      <c r="M24" s="327"/>
      <c r="N24" s="327"/>
      <c r="O24" s="327"/>
      <c r="P24" s="327"/>
      <c r="Q24" s="327"/>
      <c r="R24" s="327"/>
      <c r="S24" s="327"/>
      <c r="T24" s="327"/>
      <c r="U24" s="327"/>
      <c r="V24" s="327"/>
      <c r="W24" s="327"/>
      <c r="X24" s="327"/>
      <c r="Y24" s="327"/>
      <c r="Z24" s="327"/>
      <c r="AA24" s="327"/>
      <c r="AB24" s="327"/>
      <c r="AC24" s="327"/>
      <c r="AD24" s="327"/>
      <c r="AE24" s="327"/>
      <c r="AF24" s="240"/>
      <c r="AG24" s="192">
        <f t="shared" si="0"/>
        <v>0</v>
      </c>
      <c r="AH24" s="9">
        <f t="shared" si="1"/>
        <v>0</v>
      </c>
      <c r="AI24" s="122">
        <v>0</v>
      </c>
      <c r="AJ24" s="115">
        <f>'2026.8.'!AL24</f>
        <v>46274</v>
      </c>
      <c r="AK24" s="8" t="str">
        <f t="shared" si="2"/>
        <v/>
      </c>
      <c r="AL24" s="8">
        <f>AJ24</f>
        <v>46274</v>
      </c>
      <c r="AM24" s="80"/>
    </row>
    <row r="25" spans="1:39" x14ac:dyDescent="0.3">
      <c r="A25" s="10">
        <v>120</v>
      </c>
      <c r="B25" s="120"/>
      <c r="C25" s="193" t="s">
        <v>10</v>
      </c>
      <c r="D25" s="193"/>
      <c r="E25" s="193"/>
      <c r="F25" s="193"/>
      <c r="G25" s="193"/>
      <c r="H25" s="193"/>
      <c r="I25" s="193"/>
      <c r="J25" s="35"/>
      <c r="K25" s="254" t="s">
        <v>88</v>
      </c>
      <c r="L25" s="254"/>
      <c r="M25" s="254"/>
      <c r="N25" s="254"/>
      <c r="O25" s="254"/>
      <c r="P25" s="249"/>
      <c r="Q25" s="193" t="s">
        <v>13</v>
      </c>
      <c r="R25" s="193"/>
      <c r="S25" s="193"/>
      <c r="T25" s="193"/>
      <c r="U25" s="193"/>
      <c r="V25" s="212" t="s">
        <v>5</v>
      </c>
      <c r="W25" s="193"/>
      <c r="X25" s="193"/>
      <c r="Y25" s="193"/>
      <c r="Z25" s="193"/>
      <c r="AA25" s="193"/>
      <c r="AB25" s="193"/>
      <c r="AC25" s="212" t="s">
        <v>5</v>
      </c>
      <c r="AD25" s="193"/>
      <c r="AE25" s="193"/>
      <c r="AF25" s="149"/>
      <c r="AG25" s="192">
        <f t="shared" si="0"/>
        <v>1</v>
      </c>
      <c r="AH25" s="9">
        <f t="shared" si="1"/>
        <v>3</v>
      </c>
      <c r="AI25" s="122">
        <v>0</v>
      </c>
      <c r="AJ25" s="115">
        <f>'2026.8.'!AL25</f>
        <v>46267</v>
      </c>
      <c r="AK25" s="8">
        <f t="shared" si="2"/>
        <v>46281</v>
      </c>
      <c r="AL25" s="8">
        <f t="shared" si="3"/>
        <v>46321</v>
      </c>
      <c r="AM25" s="81"/>
    </row>
    <row r="26" spans="1:39" x14ac:dyDescent="0.3">
      <c r="A26" s="10">
        <v>121</v>
      </c>
      <c r="B26" s="120"/>
      <c r="C26" s="193"/>
      <c r="D26" s="35"/>
      <c r="E26" s="35"/>
      <c r="F26" s="35"/>
      <c r="G26" s="35"/>
      <c r="H26" s="212" t="s">
        <v>5</v>
      </c>
      <c r="I26" s="35"/>
      <c r="J26" s="35"/>
      <c r="K26" s="35"/>
      <c r="L26" s="35"/>
      <c r="M26" s="35"/>
      <c r="N26" s="35"/>
      <c r="O26" s="35" t="s">
        <v>5</v>
      </c>
      <c r="P26" s="193"/>
      <c r="Q26" s="193"/>
      <c r="R26" s="193"/>
      <c r="S26" s="193" t="s">
        <v>13</v>
      </c>
      <c r="T26" s="193"/>
      <c r="U26" s="193"/>
      <c r="V26" s="212" t="s">
        <v>5</v>
      </c>
      <c r="W26" s="193"/>
      <c r="X26" s="193"/>
      <c r="Y26" s="193"/>
      <c r="Z26" s="193"/>
      <c r="AA26" s="193"/>
      <c r="AB26" s="193"/>
      <c r="AC26" s="212" t="s">
        <v>5</v>
      </c>
      <c r="AD26" s="193"/>
      <c r="AE26" s="193"/>
      <c r="AF26" s="149"/>
      <c r="AG26" s="192">
        <f t="shared" si="0"/>
        <v>1</v>
      </c>
      <c r="AH26" s="9">
        <f t="shared" si="1"/>
        <v>4</v>
      </c>
      <c r="AI26" s="122">
        <v>0</v>
      </c>
      <c r="AJ26" s="115">
        <f>'2026.8.'!AL26</f>
        <v>46292</v>
      </c>
      <c r="AK26" s="8">
        <f t="shared" si="2"/>
        <v>46283</v>
      </c>
      <c r="AL26" s="8">
        <f t="shared" si="3"/>
        <v>46323</v>
      </c>
    </row>
    <row r="27" spans="1:39" x14ac:dyDescent="0.3">
      <c r="A27" s="10">
        <v>122</v>
      </c>
      <c r="B27" s="120"/>
      <c r="C27" s="193"/>
      <c r="D27" s="212" t="s">
        <v>5</v>
      </c>
      <c r="E27" s="193"/>
      <c r="F27" s="193"/>
      <c r="G27" s="193"/>
      <c r="H27" s="193"/>
      <c r="I27" s="193"/>
      <c r="J27" s="193"/>
      <c r="K27" s="212" t="s">
        <v>5</v>
      </c>
      <c r="L27" s="193"/>
      <c r="M27" s="193"/>
      <c r="N27" s="193"/>
      <c r="O27" s="193"/>
      <c r="P27" s="193"/>
      <c r="Q27" s="35"/>
      <c r="R27" s="35" t="s">
        <v>5</v>
      </c>
      <c r="S27" s="35"/>
      <c r="T27" s="35"/>
      <c r="U27" s="35"/>
      <c r="V27" s="35"/>
      <c r="W27" s="193"/>
      <c r="X27" s="193"/>
      <c r="Y27" s="35" t="s">
        <v>5</v>
      </c>
      <c r="Z27" s="35"/>
      <c r="AA27" s="35"/>
      <c r="AB27" s="35"/>
      <c r="AC27" s="193"/>
      <c r="AD27" s="193"/>
      <c r="AE27" s="193"/>
      <c r="AF27" s="149"/>
      <c r="AG27" s="192">
        <f t="shared" si="0"/>
        <v>0</v>
      </c>
      <c r="AH27" s="9">
        <f t="shared" si="1"/>
        <v>4</v>
      </c>
      <c r="AI27" s="122">
        <v>0</v>
      </c>
      <c r="AJ27" s="115">
        <f>'2026.8.'!AL27</f>
        <v>46305</v>
      </c>
      <c r="AK27" s="8" t="str">
        <f t="shared" si="2"/>
        <v/>
      </c>
      <c r="AL27" s="8">
        <f>AJ27</f>
        <v>46305</v>
      </c>
    </row>
    <row r="28" spans="1:39" ht="17.25" thickBot="1" x14ac:dyDescent="0.35">
      <c r="A28" s="10">
        <v>123</v>
      </c>
      <c r="B28" s="179"/>
      <c r="C28" s="183"/>
      <c r="D28" s="183"/>
      <c r="E28" s="183"/>
      <c r="F28" s="183"/>
      <c r="G28" s="183"/>
      <c r="H28" s="183" t="s">
        <v>10</v>
      </c>
      <c r="I28" s="183"/>
      <c r="J28" s="127"/>
      <c r="K28" s="127"/>
      <c r="L28" s="127"/>
      <c r="M28" s="127"/>
      <c r="N28" s="127" t="s">
        <v>5</v>
      </c>
      <c r="O28" s="127"/>
      <c r="P28" s="127"/>
      <c r="Q28" s="127"/>
      <c r="R28" s="127"/>
      <c r="S28" s="127"/>
      <c r="T28" s="127"/>
      <c r="U28" s="127" t="s">
        <v>5</v>
      </c>
      <c r="V28" s="127" t="s">
        <v>13</v>
      </c>
      <c r="W28" s="127"/>
      <c r="X28" s="127"/>
      <c r="Y28" s="127"/>
      <c r="Z28" s="127"/>
      <c r="AA28" s="127" t="s">
        <v>10</v>
      </c>
      <c r="AB28" s="127"/>
      <c r="AC28" s="127"/>
      <c r="AD28" s="127"/>
      <c r="AE28" s="127"/>
      <c r="AF28" s="180"/>
      <c r="AG28" s="128">
        <f t="shared" si="0"/>
        <v>1</v>
      </c>
      <c r="AH28" s="184">
        <f t="shared" si="1"/>
        <v>4</v>
      </c>
      <c r="AI28" s="185">
        <v>0</v>
      </c>
      <c r="AJ28" s="115">
        <f>'2026.8.'!AL28</f>
        <v>46294</v>
      </c>
      <c r="AK28" s="8">
        <f t="shared" si="2"/>
        <v>46286</v>
      </c>
      <c r="AL28" s="8">
        <f t="shared" si="3"/>
        <v>46326</v>
      </c>
    </row>
    <row r="29" spans="1:39" x14ac:dyDescent="0.3">
      <c r="A29" s="10" t="s">
        <v>10</v>
      </c>
      <c r="B29" s="118">
        <f>COUNTIF(B6:B28,"7D")</f>
        <v>3</v>
      </c>
      <c r="C29" s="18">
        <f t="shared" ref="C29:AF29" si="4">COUNTIF(C6:C28,"7D")</f>
        <v>3</v>
      </c>
      <c r="D29" s="18">
        <f t="shared" si="4"/>
        <v>3</v>
      </c>
      <c r="E29" s="18">
        <f t="shared" si="4"/>
        <v>2</v>
      </c>
      <c r="F29" s="18">
        <f t="shared" si="4"/>
        <v>3</v>
      </c>
      <c r="G29" s="18">
        <f t="shared" si="4"/>
        <v>3</v>
      </c>
      <c r="H29" s="18">
        <f t="shared" si="4"/>
        <v>3</v>
      </c>
      <c r="I29" s="18">
        <f t="shared" si="4"/>
        <v>3</v>
      </c>
      <c r="J29" s="18">
        <f t="shared" si="4"/>
        <v>3</v>
      </c>
      <c r="K29" s="18">
        <f t="shared" si="4"/>
        <v>3</v>
      </c>
      <c r="L29" s="18">
        <f t="shared" si="4"/>
        <v>3</v>
      </c>
      <c r="M29" s="18">
        <f t="shared" si="4"/>
        <v>3</v>
      </c>
      <c r="N29" s="18">
        <f t="shared" si="4"/>
        <v>3</v>
      </c>
      <c r="O29" s="18">
        <f t="shared" si="4"/>
        <v>2</v>
      </c>
      <c r="P29" s="18">
        <f t="shared" si="4"/>
        <v>3</v>
      </c>
      <c r="Q29" s="18">
        <f t="shared" si="4"/>
        <v>3</v>
      </c>
      <c r="R29" s="18">
        <f t="shared" si="4"/>
        <v>3</v>
      </c>
      <c r="S29" s="18">
        <f t="shared" si="4"/>
        <v>3</v>
      </c>
      <c r="T29" s="18">
        <f t="shared" si="4"/>
        <v>3</v>
      </c>
      <c r="U29" s="18">
        <f t="shared" si="4"/>
        <v>3</v>
      </c>
      <c r="V29" s="18">
        <f t="shared" si="4"/>
        <v>3</v>
      </c>
      <c r="W29" s="18">
        <f t="shared" si="4"/>
        <v>3</v>
      </c>
      <c r="X29" s="18">
        <f t="shared" si="4"/>
        <v>3</v>
      </c>
      <c r="Y29" s="18">
        <f t="shared" si="4"/>
        <v>3</v>
      </c>
      <c r="Z29" s="18">
        <f t="shared" si="4"/>
        <v>3</v>
      </c>
      <c r="AA29" s="18">
        <f t="shared" si="4"/>
        <v>3</v>
      </c>
      <c r="AB29" s="18">
        <f t="shared" si="4"/>
        <v>3</v>
      </c>
      <c r="AC29" s="18">
        <f t="shared" si="4"/>
        <v>3</v>
      </c>
      <c r="AD29" s="18">
        <f t="shared" si="4"/>
        <v>3</v>
      </c>
      <c r="AE29" s="18">
        <f t="shared" si="4"/>
        <v>2</v>
      </c>
      <c r="AF29" s="151">
        <f t="shared" si="4"/>
        <v>0</v>
      </c>
      <c r="AG29" s="189"/>
      <c r="AH29" s="181">
        <f>SUM(B29:AF29)</f>
        <v>87</v>
      </c>
      <c r="AI29" s="182"/>
      <c r="AJ29" s="2"/>
      <c r="AK29" s="14"/>
      <c r="AL29" s="1"/>
    </row>
    <row r="30" spans="1:39" x14ac:dyDescent="0.3">
      <c r="A30" s="10" t="s">
        <v>6</v>
      </c>
      <c r="B30" s="120">
        <v>1</v>
      </c>
      <c r="C30" s="193">
        <v>1</v>
      </c>
      <c r="D30" s="193">
        <v>1</v>
      </c>
      <c r="E30" s="193">
        <v>1</v>
      </c>
      <c r="F30" s="193">
        <v>0</v>
      </c>
      <c r="G30" s="193">
        <v>0</v>
      </c>
      <c r="H30" s="193">
        <v>1</v>
      </c>
      <c r="I30" s="193">
        <v>1</v>
      </c>
      <c r="J30" s="193">
        <v>1</v>
      </c>
      <c r="K30" s="193">
        <v>1</v>
      </c>
      <c r="L30" s="193">
        <v>1</v>
      </c>
      <c r="M30" s="193">
        <v>0</v>
      </c>
      <c r="N30" s="193">
        <v>0</v>
      </c>
      <c r="O30" s="193">
        <v>1</v>
      </c>
      <c r="P30" s="193">
        <v>1</v>
      </c>
      <c r="Q30" s="193">
        <v>1</v>
      </c>
      <c r="R30" s="193">
        <v>1</v>
      </c>
      <c r="S30" s="193">
        <v>1</v>
      </c>
      <c r="T30" s="193">
        <v>0</v>
      </c>
      <c r="U30" s="193">
        <v>0</v>
      </c>
      <c r="V30" s="193">
        <v>1</v>
      </c>
      <c r="W30" s="193">
        <v>1</v>
      </c>
      <c r="X30" s="193">
        <v>1</v>
      </c>
      <c r="Y30" s="193">
        <v>0</v>
      </c>
      <c r="Z30" s="193">
        <v>0</v>
      </c>
      <c r="AA30" s="193">
        <v>0</v>
      </c>
      <c r="AB30" s="193">
        <v>0</v>
      </c>
      <c r="AC30" s="193">
        <v>1</v>
      </c>
      <c r="AD30" s="237">
        <v>1</v>
      </c>
      <c r="AE30" s="193">
        <v>1</v>
      </c>
      <c r="AF30" s="149">
        <v>0</v>
      </c>
      <c r="AG30" s="192"/>
      <c r="AH30" s="188"/>
      <c r="AI30" s="191">
        <f>SUM(B30:AF30)</f>
        <v>20</v>
      </c>
      <c r="AJ30" s="2"/>
      <c r="AK30" s="1"/>
      <c r="AL30" s="1"/>
    </row>
    <row r="31" spans="1:39" ht="17.25" thickBot="1" x14ac:dyDescent="0.35">
      <c r="A31" s="10" t="s">
        <v>12</v>
      </c>
      <c r="B31" s="179">
        <f>COUNTIF(B6:B28,"청")</f>
        <v>1</v>
      </c>
      <c r="C31" s="127">
        <f t="shared" ref="C31:AF31" si="5">COUNTIF(C6:C28,"청")</f>
        <v>1</v>
      </c>
      <c r="D31" s="127">
        <f t="shared" si="5"/>
        <v>1</v>
      </c>
      <c r="E31" s="127">
        <f t="shared" si="5"/>
        <v>1</v>
      </c>
      <c r="F31" s="127">
        <f t="shared" si="5"/>
        <v>0</v>
      </c>
      <c r="G31" s="127">
        <f t="shared" si="5"/>
        <v>0</v>
      </c>
      <c r="H31" s="127">
        <f t="shared" si="5"/>
        <v>1</v>
      </c>
      <c r="I31" s="127">
        <f t="shared" si="5"/>
        <v>1</v>
      </c>
      <c r="J31" s="127">
        <f t="shared" si="5"/>
        <v>1</v>
      </c>
      <c r="K31" s="127">
        <f t="shared" si="5"/>
        <v>1</v>
      </c>
      <c r="L31" s="127">
        <f t="shared" si="5"/>
        <v>1</v>
      </c>
      <c r="M31" s="127">
        <f t="shared" si="5"/>
        <v>0</v>
      </c>
      <c r="N31" s="127">
        <f t="shared" si="5"/>
        <v>0</v>
      </c>
      <c r="O31" s="127">
        <f t="shared" si="5"/>
        <v>1</v>
      </c>
      <c r="P31" s="127">
        <f t="shared" si="5"/>
        <v>1</v>
      </c>
      <c r="Q31" s="127">
        <f t="shared" si="5"/>
        <v>1</v>
      </c>
      <c r="R31" s="127">
        <f t="shared" si="5"/>
        <v>1</v>
      </c>
      <c r="S31" s="127">
        <f t="shared" si="5"/>
        <v>1</v>
      </c>
      <c r="T31" s="127">
        <f t="shared" si="5"/>
        <v>0</v>
      </c>
      <c r="U31" s="127">
        <f t="shared" si="5"/>
        <v>0</v>
      </c>
      <c r="V31" s="127">
        <f t="shared" si="5"/>
        <v>1</v>
      </c>
      <c r="W31" s="127">
        <f t="shared" si="5"/>
        <v>1</v>
      </c>
      <c r="X31" s="127">
        <f t="shared" si="5"/>
        <v>1</v>
      </c>
      <c r="Y31" s="127">
        <f t="shared" si="5"/>
        <v>0</v>
      </c>
      <c r="Z31" s="127">
        <f t="shared" si="5"/>
        <v>0</v>
      </c>
      <c r="AA31" s="127">
        <f t="shared" si="5"/>
        <v>0</v>
      </c>
      <c r="AB31" s="127">
        <f t="shared" si="5"/>
        <v>0</v>
      </c>
      <c r="AC31" s="127">
        <f t="shared" si="5"/>
        <v>1</v>
      </c>
      <c r="AD31" s="127">
        <f t="shared" si="5"/>
        <v>1</v>
      </c>
      <c r="AE31" s="127">
        <f t="shared" si="5"/>
        <v>1</v>
      </c>
      <c r="AF31" s="180">
        <f t="shared" si="5"/>
        <v>0</v>
      </c>
      <c r="AG31" s="128"/>
      <c r="AH31" s="278">
        <f>SUM(B31:AF31)</f>
        <v>20</v>
      </c>
      <c r="AI31" s="279"/>
      <c r="AJ31" s="2"/>
      <c r="AK31" s="1"/>
      <c r="AL31" s="1"/>
    </row>
    <row r="32" spans="1:39" x14ac:dyDescent="0.3">
      <c r="A32" s="17"/>
      <c r="B32" s="17"/>
      <c r="C32" s="85"/>
      <c r="D32" s="105"/>
      <c r="E32" s="86"/>
      <c r="F32" s="106"/>
      <c r="G32" s="34"/>
      <c r="H32" s="34"/>
      <c r="I32" s="34"/>
      <c r="J32" s="34"/>
      <c r="K32" s="87"/>
      <c r="T32" s="83"/>
      <c r="AA32" s="34"/>
      <c r="AB32" s="82"/>
      <c r="AD32" s="83"/>
    </row>
    <row r="34" spans="1:24" x14ac:dyDescent="0.3">
      <c r="A34" s="17"/>
      <c r="B34" s="245" t="s">
        <v>66</v>
      </c>
      <c r="C34" s="245"/>
      <c r="D34" s="245"/>
      <c r="E34" s="246">
        <v>46289</v>
      </c>
      <c r="F34" s="246"/>
      <c r="G34" s="246"/>
      <c r="H34" s="247">
        <v>46289</v>
      </c>
      <c r="I34" s="247"/>
      <c r="J34" s="247"/>
    </row>
    <row r="35" spans="1:24" x14ac:dyDescent="0.3">
      <c r="A35" s="17"/>
      <c r="B35" s="245" t="s">
        <v>67</v>
      </c>
      <c r="C35" s="245"/>
      <c r="D35" s="245"/>
      <c r="E35" s="246">
        <v>46290</v>
      </c>
      <c r="F35" s="246"/>
      <c r="G35" s="246"/>
      <c r="H35" s="247">
        <v>46290</v>
      </c>
      <c r="I35" s="247"/>
      <c r="J35" s="247"/>
      <c r="X35" t="s">
        <v>185</v>
      </c>
    </row>
    <row r="36" spans="1:24" ht="26.25" x14ac:dyDescent="0.3">
      <c r="A36" s="17"/>
      <c r="B36" s="245" t="s">
        <v>66</v>
      </c>
      <c r="C36" s="245"/>
      <c r="D36" s="245"/>
      <c r="E36" s="246">
        <v>46291</v>
      </c>
      <c r="F36" s="246"/>
      <c r="G36" s="246"/>
      <c r="H36" s="247">
        <v>46291</v>
      </c>
      <c r="I36" s="247"/>
      <c r="J36" s="247"/>
      <c r="X36" s="217" t="s">
        <v>192</v>
      </c>
    </row>
    <row r="37" spans="1:24" x14ac:dyDescent="0.3">
      <c r="B37" s="293"/>
      <c r="C37" s="293"/>
      <c r="D37" s="293"/>
      <c r="E37" s="294"/>
      <c r="F37" s="294"/>
      <c r="G37" s="294"/>
      <c r="H37" s="295"/>
      <c r="I37" s="295"/>
      <c r="J37" s="295"/>
      <c r="M37" s="17"/>
      <c r="N37" s="135"/>
      <c r="O37" s="136"/>
    </row>
    <row r="38" spans="1:24" x14ac:dyDescent="0.3">
      <c r="B38" s="245"/>
      <c r="C38" s="245"/>
      <c r="D38" s="245"/>
      <c r="E38" s="294"/>
      <c r="F38" s="294"/>
      <c r="G38" s="294"/>
      <c r="H38" s="295"/>
      <c r="I38" s="295"/>
      <c r="J38" s="295"/>
      <c r="M38" s="17"/>
      <c r="N38" s="135"/>
      <c r="O38" s="136"/>
      <c r="X38" t="s">
        <v>184</v>
      </c>
    </row>
    <row r="39" spans="1:24" ht="26.25" x14ac:dyDescent="0.3">
      <c r="B39" s="245"/>
      <c r="C39" s="245"/>
      <c r="D39" s="245"/>
      <c r="E39" s="294"/>
      <c r="F39" s="294"/>
      <c r="G39" s="294"/>
      <c r="H39" s="295"/>
      <c r="I39" s="295"/>
      <c r="J39" s="295"/>
      <c r="X39" s="84" t="s">
        <v>191</v>
      </c>
    </row>
  </sheetData>
  <mergeCells count="60">
    <mergeCell ref="B39:D39"/>
    <mergeCell ref="E39:G39"/>
    <mergeCell ref="H39:J39"/>
    <mergeCell ref="B34:D34"/>
    <mergeCell ref="E34:G34"/>
    <mergeCell ref="H34:J34"/>
    <mergeCell ref="B37:D37"/>
    <mergeCell ref="E37:G37"/>
    <mergeCell ref="H37:J37"/>
    <mergeCell ref="B38:D38"/>
    <mergeCell ref="E38:G38"/>
    <mergeCell ref="H38:J38"/>
    <mergeCell ref="B35:D35"/>
    <mergeCell ref="E35:G35"/>
    <mergeCell ref="H35:J35"/>
    <mergeCell ref="B36:D36"/>
    <mergeCell ref="E36:G36"/>
    <mergeCell ref="H36:J36"/>
    <mergeCell ref="AH31:AI31"/>
    <mergeCell ref="K25:P25"/>
    <mergeCell ref="S3:S4"/>
    <mergeCell ref="AG3:AI4"/>
    <mergeCell ref="AA3:AA4"/>
    <mergeCell ref="AB3:AB4"/>
    <mergeCell ref="AC3:AC4"/>
    <mergeCell ref="AD3:AD4"/>
    <mergeCell ref="AE3:AE4"/>
    <mergeCell ref="AF3:AF4"/>
    <mergeCell ref="U3:U4"/>
    <mergeCell ref="V3:V4"/>
    <mergeCell ref="W3:W4"/>
    <mergeCell ref="X3:X4"/>
    <mergeCell ref="Y3:Y4"/>
    <mergeCell ref="Z3:Z4"/>
    <mergeCell ref="N3:N4"/>
    <mergeCell ref="O3:O4"/>
    <mergeCell ref="P3:P4"/>
    <mergeCell ref="Q3:Q4"/>
    <mergeCell ref="R3:R4"/>
    <mergeCell ref="A1:AI1"/>
    <mergeCell ref="A2:AI2"/>
    <mergeCell ref="A3:A4"/>
    <mergeCell ref="B3:B4"/>
    <mergeCell ref="C3:C4"/>
    <mergeCell ref="D3:D4"/>
    <mergeCell ref="E3:E4"/>
    <mergeCell ref="F3:F4"/>
    <mergeCell ref="G3:G4"/>
    <mergeCell ref="H3:H4"/>
    <mergeCell ref="T3:T4"/>
    <mergeCell ref="I3:I4"/>
    <mergeCell ref="J3:J4"/>
    <mergeCell ref="K3:K4"/>
    <mergeCell ref="L3:L4"/>
    <mergeCell ref="M3:M4"/>
    <mergeCell ref="B7:D7"/>
    <mergeCell ref="E10:J10"/>
    <mergeCell ref="Q16:V16"/>
    <mergeCell ref="W21:AD21"/>
    <mergeCell ref="D24:AE24"/>
  </mergeCells>
  <phoneticPr fontId="3" type="noConversion"/>
  <conditionalFormatting sqref="B3:AF6 B7 E7:AF7 B8:AF9 B10:D10 K10:AF10 B11:AF15 B16:P16 W16:AF16 B17:AF20 B21:V21 AE21:AF21 B22:AF23 B24:C24 B25:J25 Q25:AF25 B26:AF31">
    <cfRule type="expression" dxfId="3" priority="1">
      <formula>OR(WEEKDAY(B$3,1)=7,WEEKDAY(B$3,1)=1,B$3=$E$34:$G$39)</formula>
    </cfRule>
  </conditionalFormatting>
  <pageMargins left="0.7" right="0.7" top="0.75" bottom="0.75" header="0.3" footer="0.3"/>
  <pageSetup paperSize="9"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0CB1E-0D89-4F81-B3C8-CD5D416FCEF7}">
  <sheetPr>
    <pageSetUpPr fitToPage="1"/>
  </sheetPr>
  <dimension ref="A1:AM39"/>
  <sheetViews>
    <sheetView zoomScaleNormal="100" workbookViewId="0">
      <pane ySplit="5" topLeftCell="A13" activePane="bottomLeft" state="frozen"/>
      <selection pane="bottomLeft" activeCell="K43" sqref="K43"/>
    </sheetView>
  </sheetViews>
  <sheetFormatPr defaultRowHeight="16.5" x14ac:dyDescent="0.3"/>
  <cols>
    <col min="1" max="1" width="9.125" bestFit="1" customWidth="1"/>
    <col min="2" max="31" width="3.75" customWidth="1"/>
    <col min="32" max="32" width="3.25" customWidth="1"/>
    <col min="33" max="35" width="3.75" customWidth="1"/>
    <col min="36" max="36" width="12.5" hidden="1" customWidth="1"/>
    <col min="37" max="38" width="11.25" hidden="1" customWidth="1"/>
    <col min="39" max="39" width="10.375" hidden="1" customWidth="1"/>
  </cols>
  <sheetData>
    <row r="1" spans="1:39" x14ac:dyDescent="0.3">
      <c r="A1" s="264" t="s">
        <v>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00"/>
      <c r="AK1" s="1"/>
      <c r="AL1" s="1"/>
    </row>
    <row r="2" spans="1:39" ht="17.25" thickBot="1" x14ac:dyDescent="0.35">
      <c r="A2" s="266" t="s">
        <v>172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01"/>
      <c r="AK2" s="1"/>
      <c r="AL2" s="1"/>
    </row>
    <row r="3" spans="1:39" x14ac:dyDescent="0.3">
      <c r="A3" s="268" t="s">
        <v>1</v>
      </c>
      <c r="B3" s="311">
        <v>46296</v>
      </c>
      <c r="C3" s="309">
        <v>46297</v>
      </c>
      <c r="D3" s="309">
        <v>46298</v>
      </c>
      <c r="E3" s="309">
        <v>46299</v>
      </c>
      <c r="F3" s="309">
        <v>46300</v>
      </c>
      <c r="G3" s="309">
        <v>46301</v>
      </c>
      <c r="H3" s="309">
        <v>46302</v>
      </c>
      <c r="I3" s="309">
        <v>46303</v>
      </c>
      <c r="J3" s="309">
        <v>46304</v>
      </c>
      <c r="K3" s="309">
        <v>46305</v>
      </c>
      <c r="L3" s="309">
        <v>46306</v>
      </c>
      <c r="M3" s="309">
        <v>46307</v>
      </c>
      <c r="N3" s="309">
        <v>46308</v>
      </c>
      <c r="O3" s="309">
        <v>46309</v>
      </c>
      <c r="P3" s="309">
        <v>46310</v>
      </c>
      <c r="Q3" s="309">
        <v>46311</v>
      </c>
      <c r="R3" s="309">
        <v>46312</v>
      </c>
      <c r="S3" s="309">
        <v>46313</v>
      </c>
      <c r="T3" s="309">
        <v>46314</v>
      </c>
      <c r="U3" s="309">
        <v>46315</v>
      </c>
      <c r="V3" s="309">
        <v>46316</v>
      </c>
      <c r="W3" s="309">
        <v>46317</v>
      </c>
      <c r="X3" s="309">
        <v>46318</v>
      </c>
      <c r="Y3" s="309">
        <v>46319</v>
      </c>
      <c r="Z3" s="309">
        <v>46320</v>
      </c>
      <c r="AA3" s="309">
        <v>46321</v>
      </c>
      <c r="AB3" s="309">
        <v>46322</v>
      </c>
      <c r="AC3" s="309">
        <v>46323</v>
      </c>
      <c r="AD3" s="309">
        <v>46324</v>
      </c>
      <c r="AE3" s="309">
        <v>46325</v>
      </c>
      <c r="AF3" s="309">
        <v>46326</v>
      </c>
      <c r="AG3" s="296" t="s">
        <v>2</v>
      </c>
      <c r="AH3" s="285"/>
      <c r="AI3" s="286"/>
      <c r="AJ3" s="2"/>
      <c r="AK3" s="1"/>
      <c r="AL3" s="1"/>
    </row>
    <row r="4" spans="1:39" x14ac:dyDescent="0.3">
      <c r="A4" s="269"/>
      <c r="B4" s="312"/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10"/>
      <c r="Z4" s="310"/>
      <c r="AA4" s="310"/>
      <c r="AB4" s="310"/>
      <c r="AC4" s="310"/>
      <c r="AD4" s="310"/>
      <c r="AE4" s="310"/>
      <c r="AF4" s="310"/>
      <c r="AG4" s="297"/>
      <c r="AH4" s="255"/>
      <c r="AI4" s="287"/>
      <c r="AJ4" s="2"/>
      <c r="AK4" s="1"/>
      <c r="AL4" s="1"/>
    </row>
    <row r="5" spans="1:39" ht="17.25" thickBot="1" x14ac:dyDescent="0.35">
      <c r="A5" s="66" t="s">
        <v>3</v>
      </c>
      <c r="B5" s="116">
        <v>46296</v>
      </c>
      <c r="C5" s="43">
        <v>46297</v>
      </c>
      <c r="D5" s="43">
        <v>46298</v>
      </c>
      <c r="E5" s="43">
        <v>46299</v>
      </c>
      <c r="F5" s="43">
        <v>46300</v>
      </c>
      <c r="G5" s="43">
        <v>46301</v>
      </c>
      <c r="H5" s="43">
        <v>46302</v>
      </c>
      <c r="I5" s="43">
        <v>46303</v>
      </c>
      <c r="J5" s="43">
        <v>46304</v>
      </c>
      <c r="K5" s="43">
        <v>46305</v>
      </c>
      <c r="L5" s="43">
        <v>46306</v>
      </c>
      <c r="M5" s="43">
        <v>46307</v>
      </c>
      <c r="N5" s="43">
        <v>46308</v>
      </c>
      <c r="O5" s="43">
        <v>46309</v>
      </c>
      <c r="P5" s="43">
        <v>46310</v>
      </c>
      <c r="Q5" s="43">
        <v>46311</v>
      </c>
      <c r="R5" s="43">
        <v>46312</v>
      </c>
      <c r="S5" s="43">
        <v>46313</v>
      </c>
      <c r="T5" s="43">
        <v>46314</v>
      </c>
      <c r="U5" s="43">
        <v>46315</v>
      </c>
      <c r="V5" s="43">
        <v>46316</v>
      </c>
      <c r="W5" s="43">
        <v>46317</v>
      </c>
      <c r="X5" s="43">
        <v>46318</v>
      </c>
      <c r="Y5" s="43">
        <v>46319</v>
      </c>
      <c r="Z5" s="43">
        <v>46320</v>
      </c>
      <c r="AA5" s="43">
        <v>46321</v>
      </c>
      <c r="AB5" s="43">
        <v>46322</v>
      </c>
      <c r="AC5" s="43">
        <v>46323</v>
      </c>
      <c r="AD5" s="43">
        <v>46324</v>
      </c>
      <c r="AE5" s="43">
        <v>46325</v>
      </c>
      <c r="AF5" s="43">
        <v>46326</v>
      </c>
      <c r="AG5" s="204" t="s">
        <v>4</v>
      </c>
      <c r="AH5" s="198" t="s">
        <v>10</v>
      </c>
      <c r="AI5" s="203" t="s">
        <v>6</v>
      </c>
      <c r="AJ5" s="114" t="s">
        <v>7</v>
      </c>
      <c r="AK5" s="6" t="s">
        <v>8</v>
      </c>
      <c r="AL5" s="6" t="s">
        <v>9</v>
      </c>
    </row>
    <row r="6" spans="1:39" ht="17.25" thickTop="1" x14ac:dyDescent="0.3">
      <c r="A6" s="19">
        <v>101</v>
      </c>
      <c r="B6" s="194"/>
      <c r="C6" s="7"/>
      <c r="D6" s="7"/>
      <c r="E6" s="7" t="s">
        <v>10</v>
      </c>
      <c r="F6" s="7"/>
      <c r="G6" s="7"/>
      <c r="H6" s="7"/>
      <c r="I6" s="7"/>
      <c r="J6" s="36"/>
      <c r="K6" s="36" t="s">
        <v>5</v>
      </c>
      <c r="L6" s="36"/>
      <c r="M6" s="36"/>
      <c r="N6" s="7"/>
      <c r="O6" s="36"/>
      <c r="P6" s="36"/>
      <c r="Q6" s="36"/>
      <c r="R6" s="36" t="s">
        <v>5</v>
      </c>
      <c r="S6" s="36"/>
      <c r="T6" s="36"/>
      <c r="U6" s="36"/>
      <c r="V6" s="7"/>
      <c r="W6" s="7"/>
      <c r="X6" s="7"/>
      <c r="Y6" s="7" t="s">
        <v>5</v>
      </c>
      <c r="Z6" s="7"/>
      <c r="AA6" s="7"/>
      <c r="AB6" s="7"/>
      <c r="AC6" s="7"/>
      <c r="AD6" s="7"/>
      <c r="AE6" s="7"/>
      <c r="AF6" s="195" t="s">
        <v>5</v>
      </c>
      <c r="AG6" s="204">
        <f>COUNTIF(B6:AF6,"청")</f>
        <v>0</v>
      </c>
      <c r="AH6" s="9">
        <f>COUNTIF(B6:AF6,"7D")</f>
        <v>5</v>
      </c>
      <c r="AI6" s="122">
        <v>0</v>
      </c>
      <c r="AJ6" s="115">
        <f>'2026.9.'!AL6</f>
        <v>46328</v>
      </c>
      <c r="AK6" s="8" t="str">
        <f>IFERROR(INDEX($B$3:$AF$5,1,MATCH("청",B6:AF6,0)),"")</f>
        <v/>
      </c>
      <c r="AL6" s="8">
        <f>AJ6</f>
        <v>46328</v>
      </c>
      <c r="AM6" s="81"/>
    </row>
    <row r="7" spans="1:39" x14ac:dyDescent="0.3">
      <c r="A7" s="10">
        <v>102</v>
      </c>
      <c r="B7" s="214"/>
      <c r="C7" s="74"/>
      <c r="D7" s="205"/>
      <c r="E7" s="205"/>
      <c r="F7" s="205"/>
      <c r="G7" s="205"/>
      <c r="H7" s="227" t="s">
        <v>5</v>
      </c>
      <c r="I7" s="205"/>
      <c r="J7" s="205"/>
      <c r="K7" s="205"/>
      <c r="L7" s="205"/>
      <c r="M7" s="205" t="s">
        <v>13</v>
      </c>
      <c r="N7" s="205"/>
      <c r="O7" s="227" t="s">
        <v>5</v>
      </c>
      <c r="P7" s="205"/>
      <c r="Q7" s="205"/>
      <c r="R7" s="205"/>
      <c r="S7" s="205"/>
      <c r="T7" s="205"/>
      <c r="U7" s="205"/>
      <c r="V7" s="227" t="s">
        <v>5</v>
      </c>
      <c r="W7" s="35"/>
      <c r="X7" s="35"/>
      <c r="Y7" s="35"/>
      <c r="Z7" s="35"/>
      <c r="AA7" s="35"/>
      <c r="AB7" s="35"/>
      <c r="AC7" s="35" t="s">
        <v>5</v>
      </c>
      <c r="AD7" s="35"/>
      <c r="AE7" s="35"/>
      <c r="AF7" s="150"/>
      <c r="AG7" s="45">
        <f t="shared" ref="AG7:AG28" si="0">COUNTIF(B7:AF7,"청")</f>
        <v>1</v>
      </c>
      <c r="AH7" s="44">
        <f t="shared" ref="AH7:AH28" si="1">COUNTIF(B7:AF7,"7D")</f>
        <v>4</v>
      </c>
      <c r="AI7" s="121">
        <v>0</v>
      </c>
      <c r="AJ7" s="115">
        <f>'2026.9.'!AL7</f>
        <v>46309</v>
      </c>
      <c r="AK7" s="8">
        <f t="shared" ref="AK7:AK28" si="2">IFERROR(INDEX($B$3:$AF$5,1,MATCH("청",B7:AF7,0)),"")</f>
        <v>46307</v>
      </c>
      <c r="AL7" s="8">
        <f t="shared" ref="AL7:AL28" si="3">IFERROR(AK7+40,"")</f>
        <v>46347</v>
      </c>
      <c r="AM7" s="81"/>
    </row>
    <row r="8" spans="1:39" x14ac:dyDescent="0.3">
      <c r="A8" s="10">
        <v>103</v>
      </c>
      <c r="B8" s="120" t="s">
        <v>13</v>
      </c>
      <c r="C8" s="35" t="s">
        <v>5</v>
      </c>
      <c r="D8" s="35"/>
      <c r="E8" s="35"/>
      <c r="F8" s="35"/>
      <c r="G8" s="205"/>
      <c r="H8" s="205"/>
      <c r="I8" s="205"/>
      <c r="J8" s="227" t="s">
        <v>5</v>
      </c>
      <c r="K8" s="205"/>
      <c r="L8" s="205"/>
      <c r="M8" s="205"/>
      <c r="N8" s="205"/>
      <c r="O8" s="205"/>
      <c r="P8" s="35"/>
      <c r="Q8" s="35" t="s">
        <v>5</v>
      </c>
      <c r="R8" s="35"/>
      <c r="S8" s="35"/>
      <c r="T8" s="205"/>
      <c r="U8" s="205"/>
      <c r="V8" s="253" t="s">
        <v>127</v>
      </c>
      <c r="W8" s="254"/>
      <c r="X8" s="254"/>
      <c r="Y8" s="254"/>
      <c r="Z8" s="254"/>
      <c r="AA8" s="249"/>
      <c r="AB8" s="205" t="s">
        <v>13</v>
      </c>
      <c r="AC8" s="205"/>
      <c r="AD8" s="205"/>
      <c r="AE8" s="205"/>
      <c r="AF8" s="149"/>
      <c r="AG8" s="223">
        <f t="shared" si="0"/>
        <v>2</v>
      </c>
      <c r="AH8" s="9">
        <f t="shared" si="1"/>
        <v>3</v>
      </c>
      <c r="AI8" s="122">
        <v>0</v>
      </c>
      <c r="AJ8" s="115">
        <f>'2026.9.'!AL8</f>
        <v>46301</v>
      </c>
      <c r="AK8" s="12">
        <v>46322</v>
      </c>
      <c r="AL8" s="8">
        <f t="shared" si="3"/>
        <v>46362</v>
      </c>
      <c r="AM8" s="81"/>
    </row>
    <row r="9" spans="1:39" x14ac:dyDescent="0.3">
      <c r="A9" s="10">
        <v>104</v>
      </c>
      <c r="B9" s="120" t="s">
        <v>5</v>
      </c>
      <c r="C9" s="205"/>
      <c r="D9" s="205"/>
      <c r="E9" s="205"/>
      <c r="F9" s="205"/>
      <c r="G9" s="205"/>
      <c r="H9" s="205"/>
      <c r="I9" s="227" t="s">
        <v>5</v>
      </c>
      <c r="J9" s="205"/>
      <c r="K9" s="205"/>
      <c r="L9" s="205"/>
      <c r="M9" s="205"/>
      <c r="N9" s="35"/>
      <c r="O9" s="35"/>
      <c r="P9" s="35" t="s">
        <v>5</v>
      </c>
      <c r="Q9" s="35"/>
      <c r="R9" s="35"/>
      <c r="S9" s="35"/>
      <c r="T9" s="205"/>
      <c r="U9" s="35"/>
      <c r="V9" s="35"/>
      <c r="W9" s="35" t="s">
        <v>5</v>
      </c>
      <c r="X9" s="35"/>
      <c r="Y9" s="205"/>
      <c r="Z9" s="205"/>
      <c r="AA9" s="205"/>
      <c r="AB9" s="205"/>
      <c r="AC9" s="205"/>
      <c r="AD9" s="227" t="s">
        <v>5</v>
      </c>
      <c r="AE9" s="205"/>
      <c r="AF9" s="149"/>
      <c r="AG9" s="204">
        <f t="shared" si="0"/>
        <v>0</v>
      </c>
      <c r="AH9" s="9">
        <f t="shared" si="1"/>
        <v>5</v>
      </c>
      <c r="AI9" s="122">
        <v>0</v>
      </c>
      <c r="AJ9" s="115">
        <f>'2026.9.'!AL9</f>
        <v>46334</v>
      </c>
      <c r="AK9" s="8" t="str">
        <f t="shared" si="2"/>
        <v/>
      </c>
      <c r="AL9" s="8">
        <f>AJ9</f>
        <v>46334</v>
      </c>
    </row>
    <row r="10" spans="1:39" x14ac:dyDescent="0.3">
      <c r="A10" s="10">
        <v>105</v>
      </c>
      <c r="B10" s="120"/>
      <c r="C10" s="205"/>
      <c r="D10" s="35"/>
      <c r="E10" s="35"/>
      <c r="F10" s="35"/>
      <c r="G10" s="35" t="s">
        <v>5</v>
      </c>
      <c r="H10" s="35"/>
      <c r="I10" s="35"/>
      <c r="J10" s="205"/>
      <c r="K10" s="205"/>
      <c r="L10" s="205"/>
      <c r="M10" s="205"/>
      <c r="N10" s="227" t="s">
        <v>5</v>
      </c>
      <c r="O10" s="205"/>
      <c r="P10" s="205"/>
      <c r="Q10" s="205"/>
      <c r="R10" s="205"/>
      <c r="S10" s="205"/>
      <c r="T10" s="205" t="s">
        <v>13</v>
      </c>
      <c r="U10" s="227" t="s">
        <v>5</v>
      </c>
      <c r="V10" s="205"/>
      <c r="W10" s="205"/>
      <c r="X10" s="205"/>
      <c r="Y10" s="205"/>
      <c r="Z10" s="205"/>
      <c r="AA10" s="227" t="s">
        <v>5</v>
      </c>
      <c r="AB10" s="205"/>
      <c r="AC10" s="35"/>
      <c r="AD10" s="35"/>
      <c r="AE10" s="35"/>
      <c r="AF10" s="149"/>
      <c r="AG10" s="204">
        <f t="shared" si="0"/>
        <v>1</v>
      </c>
      <c r="AH10" s="9">
        <f t="shared" si="1"/>
        <v>4</v>
      </c>
      <c r="AI10" s="122">
        <v>0</v>
      </c>
      <c r="AJ10" s="115">
        <f>'2026.9.'!AL10</f>
        <v>46315</v>
      </c>
      <c r="AK10" s="8">
        <f t="shared" si="2"/>
        <v>46314</v>
      </c>
      <c r="AL10" s="8">
        <f t="shared" si="3"/>
        <v>46354</v>
      </c>
      <c r="AM10" s="80"/>
    </row>
    <row r="11" spans="1:39" x14ac:dyDescent="0.3">
      <c r="A11" s="10">
        <v>106</v>
      </c>
      <c r="B11" s="137"/>
      <c r="C11" s="35" t="s">
        <v>5</v>
      </c>
      <c r="D11" s="35"/>
      <c r="E11" s="35"/>
      <c r="F11" s="35"/>
      <c r="G11" s="35"/>
      <c r="H11" s="35"/>
      <c r="I11" s="35" t="s">
        <v>13</v>
      </c>
      <c r="J11" s="35" t="s">
        <v>5</v>
      </c>
      <c r="K11" s="35"/>
      <c r="L11" s="35"/>
      <c r="M11" s="205"/>
      <c r="N11" s="205"/>
      <c r="O11" s="205"/>
      <c r="P11" s="205"/>
      <c r="Q11" s="227" t="s">
        <v>5</v>
      </c>
      <c r="R11" s="205"/>
      <c r="S11" s="205"/>
      <c r="T11" s="205"/>
      <c r="U11" s="205"/>
      <c r="V11" s="205"/>
      <c r="W11" s="35"/>
      <c r="X11" s="35" t="s">
        <v>5</v>
      </c>
      <c r="Y11" s="35"/>
      <c r="Z11" s="35"/>
      <c r="AA11" s="205"/>
      <c r="AB11" s="253" t="s">
        <v>91</v>
      </c>
      <c r="AC11" s="254"/>
      <c r="AD11" s="254"/>
      <c r="AE11" s="249"/>
      <c r="AF11" s="149"/>
      <c r="AG11" s="204">
        <f t="shared" si="0"/>
        <v>1</v>
      </c>
      <c r="AH11" s="9">
        <f t="shared" si="1"/>
        <v>4</v>
      </c>
      <c r="AI11" s="122">
        <v>0</v>
      </c>
      <c r="AJ11" s="115">
        <f>'2026.9.'!AL11</f>
        <v>46307</v>
      </c>
      <c r="AK11" s="8">
        <f t="shared" si="2"/>
        <v>46303</v>
      </c>
      <c r="AL11" s="8">
        <f t="shared" si="3"/>
        <v>46343</v>
      </c>
      <c r="AM11" s="80" t="s">
        <v>173</v>
      </c>
    </row>
    <row r="12" spans="1:39" x14ac:dyDescent="0.3">
      <c r="A12" s="10">
        <v>107</v>
      </c>
      <c r="B12" s="137"/>
      <c r="C12" s="35"/>
      <c r="D12" s="35"/>
      <c r="E12" s="35"/>
      <c r="F12" s="205"/>
      <c r="G12" s="205"/>
      <c r="H12" s="227" t="s">
        <v>5</v>
      </c>
      <c r="I12" s="205"/>
      <c r="J12" s="205"/>
      <c r="K12" s="35"/>
      <c r="L12" s="35"/>
      <c r="M12" s="35"/>
      <c r="N12" s="35" t="s">
        <v>13</v>
      </c>
      <c r="O12" s="35" t="s">
        <v>5</v>
      </c>
      <c r="P12" s="35"/>
      <c r="Q12" s="35"/>
      <c r="R12" s="35"/>
      <c r="S12" s="35"/>
      <c r="T12" s="35"/>
      <c r="U12" s="35"/>
      <c r="V12" s="35" t="s">
        <v>5</v>
      </c>
      <c r="W12" s="35"/>
      <c r="X12" s="35"/>
      <c r="Y12" s="35"/>
      <c r="Z12" s="35"/>
      <c r="AA12" s="35"/>
      <c r="AB12" s="35"/>
      <c r="AC12" s="35" t="s">
        <v>5</v>
      </c>
      <c r="AD12" s="205"/>
      <c r="AE12" s="74"/>
      <c r="AF12" s="196"/>
      <c r="AG12" s="204">
        <f t="shared" si="0"/>
        <v>1</v>
      </c>
      <c r="AH12" s="9">
        <f t="shared" si="1"/>
        <v>4</v>
      </c>
      <c r="AI12" s="122">
        <v>0</v>
      </c>
      <c r="AJ12" s="115">
        <f>'2026.9.'!AL12</f>
        <v>46308</v>
      </c>
      <c r="AK12" s="8">
        <f t="shared" si="2"/>
        <v>46308</v>
      </c>
      <c r="AL12" s="8">
        <f t="shared" si="3"/>
        <v>46348</v>
      </c>
      <c r="AM12" s="81"/>
    </row>
    <row r="13" spans="1:39" x14ac:dyDescent="0.3">
      <c r="A13" s="10">
        <v>108</v>
      </c>
      <c r="B13" s="292" t="s">
        <v>89</v>
      </c>
      <c r="C13" s="254"/>
      <c r="D13" s="254"/>
      <c r="E13" s="254"/>
      <c r="F13" s="254"/>
      <c r="G13" s="249"/>
      <c r="H13" s="205" t="s">
        <v>13</v>
      </c>
      <c r="I13" s="205"/>
      <c r="J13" s="205"/>
      <c r="K13" s="205"/>
      <c r="L13" s="205"/>
      <c r="M13" s="205"/>
      <c r="N13" s="227" t="s">
        <v>5</v>
      </c>
      <c r="O13" s="205"/>
      <c r="P13" s="205"/>
      <c r="Q13" s="205"/>
      <c r="R13" s="205"/>
      <c r="S13" s="205"/>
      <c r="T13" s="205"/>
      <c r="U13" s="227" t="s">
        <v>5</v>
      </c>
      <c r="V13" s="205"/>
      <c r="W13" s="205"/>
      <c r="X13" s="205"/>
      <c r="Y13" s="205"/>
      <c r="Z13" s="205"/>
      <c r="AA13" s="205"/>
      <c r="AB13" s="227" t="s">
        <v>5</v>
      </c>
      <c r="AC13" s="205"/>
      <c r="AD13" s="205"/>
      <c r="AE13" s="213"/>
      <c r="AF13" s="149"/>
      <c r="AG13" s="204">
        <f t="shared" si="0"/>
        <v>1</v>
      </c>
      <c r="AH13" s="9">
        <f t="shared" si="1"/>
        <v>3</v>
      </c>
      <c r="AI13" s="122">
        <v>0</v>
      </c>
      <c r="AJ13" s="115">
        <f>'2026.9.'!AL13</f>
        <v>46312</v>
      </c>
      <c r="AK13" s="8">
        <f t="shared" si="2"/>
        <v>46302</v>
      </c>
      <c r="AL13" s="8">
        <f t="shared" si="3"/>
        <v>46342</v>
      </c>
      <c r="AM13" s="80"/>
    </row>
    <row r="14" spans="1:39" x14ac:dyDescent="0.3">
      <c r="A14" s="10">
        <v>109</v>
      </c>
      <c r="B14" s="120"/>
      <c r="C14" s="205"/>
      <c r="D14" s="205"/>
      <c r="E14" s="205"/>
      <c r="F14" s="205"/>
      <c r="G14" s="205"/>
      <c r="H14" s="227" t="s">
        <v>5</v>
      </c>
      <c r="I14" s="205"/>
      <c r="J14" s="205"/>
      <c r="K14" s="205"/>
      <c r="L14" s="205"/>
      <c r="M14" s="35"/>
      <c r="N14" s="35"/>
      <c r="O14" s="35" t="s">
        <v>5</v>
      </c>
      <c r="P14" s="35" t="s">
        <v>13</v>
      </c>
      <c r="Q14" s="35"/>
      <c r="R14" s="35"/>
      <c r="S14" s="35"/>
      <c r="T14" s="35"/>
      <c r="U14" s="35"/>
      <c r="V14" s="227" t="s">
        <v>5</v>
      </c>
      <c r="W14" s="205"/>
      <c r="X14" s="205"/>
      <c r="Y14" s="205"/>
      <c r="Z14" s="205"/>
      <c r="AA14" s="35"/>
      <c r="AB14" s="35"/>
      <c r="AC14" s="35" t="s">
        <v>5</v>
      </c>
      <c r="AD14" s="35"/>
      <c r="AE14" s="35"/>
      <c r="AF14" s="149"/>
      <c r="AG14" s="204">
        <f t="shared" si="0"/>
        <v>1</v>
      </c>
      <c r="AH14" s="9">
        <f t="shared" si="1"/>
        <v>4</v>
      </c>
      <c r="AI14" s="122">
        <v>0</v>
      </c>
      <c r="AJ14" s="115">
        <f>'2026.9.'!AL14</f>
        <v>46313</v>
      </c>
      <c r="AK14" s="8">
        <f t="shared" si="2"/>
        <v>46310</v>
      </c>
      <c r="AL14" s="8">
        <f t="shared" si="3"/>
        <v>46350</v>
      </c>
    </row>
    <row r="15" spans="1:39" x14ac:dyDescent="0.3">
      <c r="A15" s="10">
        <v>110</v>
      </c>
      <c r="B15" s="137"/>
      <c r="C15" s="35"/>
      <c r="D15" s="35" t="s">
        <v>5</v>
      </c>
      <c r="E15" s="35"/>
      <c r="F15" s="205"/>
      <c r="G15" s="205"/>
      <c r="H15" s="205"/>
      <c r="I15" s="205"/>
      <c r="J15" s="205"/>
      <c r="K15" s="35"/>
      <c r="L15" s="35" t="s">
        <v>10</v>
      </c>
      <c r="M15" s="35"/>
      <c r="N15" s="35"/>
      <c r="O15" s="35"/>
      <c r="P15" s="35"/>
      <c r="Q15" s="205"/>
      <c r="R15" s="227" t="s">
        <v>5</v>
      </c>
      <c r="S15" s="35"/>
      <c r="T15" s="35"/>
      <c r="U15" s="35"/>
      <c r="V15" s="35"/>
      <c r="W15" s="205"/>
      <c r="X15" s="205"/>
      <c r="Y15" s="227" t="s">
        <v>5</v>
      </c>
      <c r="Z15" s="205"/>
      <c r="AA15" s="205"/>
      <c r="AB15" s="205"/>
      <c r="AC15" s="205"/>
      <c r="AD15" s="205"/>
      <c r="AE15" s="205"/>
      <c r="AF15" s="149" t="s">
        <v>5</v>
      </c>
      <c r="AG15" s="204">
        <f t="shared" si="0"/>
        <v>0</v>
      </c>
      <c r="AH15" s="9">
        <f t="shared" si="1"/>
        <v>5</v>
      </c>
      <c r="AI15" s="122">
        <v>0</v>
      </c>
      <c r="AJ15" s="115">
        <f>'2026.9.'!AL15</f>
        <v>46333</v>
      </c>
      <c r="AK15" s="8" t="str">
        <f t="shared" si="2"/>
        <v/>
      </c>
      <c r="AL15" s="8">
        <f>AJ15</f>
        <v>46333</v>
      </c>
    </row>
    <row r="16" spans="1:39" x14ac:dyDescent="0.3">
      <c r="A16" s="10">
        <v>111</v>
      </c>
      <c r="B16" s="120"/>
      <c r="C16" s="227"/>
      <c r="D16" s="205" t="s">
        <v>10</v>
      </c>
      <c r="E16" s="205"/>
      <c r="F16" s="205"/>
      <c r="G16" s="205"/>
      <c r="H16" s="205"/>
      <c r="I16" s="205"/>
      <c r="J16" s="227" t="s">
        <v>5</v>
      </c>
      <c r="K16" s="205"/>
      <c r="L16" s="205"/>
      <c r="M16" s="205"/>
      <c r="N16" s="205"/>
      <c r="O16" s="205"/>
      <c r="P16" s="35"/>
      <c r="Q16" s="35" t="s">
        <v>5</v>
      </c>
      <c r="R16" s="35"/>
      <c r="S16" s="35"/>
      <c r="T16" s="205"/>
      <c r="U16" s="205"/>
      <c r="V16" s="35"/>
      <c r="W16" s="35"/>
      <c r="X16" s="35" t="s">
        <v>5</v>
      </c>
      <c r="Y16" s="35"/>
      <c r="Z16" s="35"/>
      <c r="AA16" s="35"/>
      <c r="AB16" s="205"/>
      <c r="AC16" s="205"/>
      <c r="AD16" s="227" t="s">
        <v>5</v>
      </c>
      <c r="AE16" s="205" t="s">
        <v>13</v>
      </c>
      <c r="AF16" s="149"/>
      <c r="AG16" s="204">
        <f t="shared" si="0"/>
        <v>1</v>
      </c>
      <c r="AH16" s="9">
        <f t="shared" si="1"/>
        <v>5</v>
      </c>
      <c r="AI16" s="122">
        <v>0</v>
      </c>
      <c r="AJ16" s="115">
        <f>'2026.9.'!AL16</f>
        <v>46327</v>
      </c>
      <c r="AK16" s="8">
        <f t="shared" si="2"/>
        <v>46325</v>
      </c>
      <c r="AL16" s="8">
        <f t="shared" si="3"/>
        <v>46365</v>
      </c>
    </row>
    <row r="17" spans="1:39" x14ac:dyDescent="0.3">
      <c r="A17" s="10">
        <v>112</v>
      </c>
      <c r="B17" s="120"/>
      <c r="C17" s="35"/>
      <c r="D17" s="35"/>
      <c r="E17" s="35"/>
      <c r="F17" s="35"/>
      <c r="G17" s="35" t="s">
        <v>5</v>
      </c>
      <c r="H17" s="35"/>
      <c r="I17" s="205"/>
      <c r="J17" s="205"/>
      <c r="K17" s="205"/>
      <c r="L17" s="205"/>
      <c r="M17" s="205"/>
      <c r="N17" s="227" t="s">
        <v>5</v>
      </c>
      <c r="O17" s="205"/>
      <c r="P17" s="205"/>
      <c r="Q17" s="205"/>
      <c r="R17" s="205"/>
      <c r="S17" s="205"/>
      <c r="T17" s="227" t="s">
        <v>5</v>
      </c>
      <c r="U17" s="205" t="s">
        <v>13</v>
      </c>
      <c r="V17" s="205"/>
      <c r="W17" s="205"/>
      <c r="X17" s="35"/>
      <c r="Y17" s="35"/>
      <c r="Z17" s="35"/>
      <c r="AA17" s="35" t="s">
        <v>5</v>
      </c>
      <c r="AB17" s="205"/>
      <c r="AC17" s="205"/>
      <c r="AD17" s="205"/>
      <c r="AE17" s="205"/>
      <c r="AF17" s="149"/>
      <c r="AG17" s="204">
        <f t="shared" si="0"/>
        <v>1</v>
      </c>
      <c r="AH17" s="9">
        <f t="shared" si="1"/>
        <v>4</v>
      </c>
      <c r="AI17" s="122">
        <v>0</v>
      </c>
      <c r="AJ17" s="115">
        <f>'2026.9.'!AL17</f>
        <v>46314</v>
      </c>
      <c r="AK17" s="8">
        <f t="shared" si="2"/>
        <v>46315</v>
      </c>
      <c r="AL17" s="8">
        <f t="shared" si="3"/>
        <v>46355</v>
      </c>
      <c r="AM17" s="81"/>
    </row>
    <row r="18" spans="1:39" x14ac:dyDescent="0.3">
      <c r="A18" s="10">
        <v>113</v>
      </c>
      <c r="B18" s="120" t="s">
        <v>5</v>
      </c>
      <c r="C18" s="205"/>
      <c r="D18" s="205"/>
      <c r="E18" s="205"/>
      <c r="F18" s="35"/>
      <c r="G18" s="35"/>
      <c r="H18" s="35"/>
      <c r="I18" s="35" t="s">
        <v>5</v>
      </c>
      <c r="J18" s="35"/>
      <c r="K18" s="35"/>
      <c r="L18" s="35"/>
      <c r="M18" s="35"/>
      <c r="N18" s="35"/>
      <c r="O18" s="35"/>
      <c r="P18" s="227" t="s">
        <v>5</v>
      </c>
      <c r="Q18" s="205"/>
      <c r="R18" s="205"/>
      <c r="S18" s="205"/>
      <c r="T18" s="205"/>
      <c r="U18" s="205"/>
      <c r="V18" s="205"/>
      <c r="W18" s="227" t="s">
        <v>5</v>
      </c>
      <c r="X18" s="205"/>
      <c r="Y18" s="205"/>
      <c r="Z18" s="205"/>
      <c r="AA18" s="205"/>
      <c r="AB18" s="205"/>
      <c r="AC18" s="205"/>
      <c r="AD18" s="205" t="s">
        <v>13</v>
      </c>
      <c r="AE18" s="227" t="s">
        <v>5</v>
      </c>
      <c r="AF18" s="149"/>
      <c r="AG18" s="204">
        <f t="shared" si="0"/>
        <v>1</v>
      </c>
      <c r="AH18" s="9">
        <f t="shared" si="1"/>
        <v>5</v>
      </c>
      <c r="AI18" s="122">
        <v>0</v>
      </c>
      <c r="AJ18" s="115">
        <f>'2026.9.'!AL18</f>
        <v>46322</v>
      </c>
      <c r="AK18" s="8">
        <f t="shared" si="2"/>
        <v>46324</v>
      </c>
      <c r="AL18" s="8">
        <f t="shared" si="3"/>
        <v>46364</v>
      </c>
    </row>
    <row r="19" spans="1:39" x14ac:dyDescent="0.3">
      <c r="A19" s="10">
        <v>114</v>
      </c>
      <c r="B19" s="140"/>
      <c r="C19" s="138"/>
      <c r="D19" s="138"/>
      <c r="E19" s="138" t="s">
        <v>5</v>
      </c>
      <c r="F19" s="205"/>
      <c r="G19" s="205"/>
      <c r="H19" s="253" t="s">
        <v>99</v>
      </c>
      <c r="I19" s="254"/>
      <c r="J19" s="254"/>
      <c r="K19" s="254"/>
      <c r="L19" s="254"/>
      <c r="M19" s="254"/>
      <c r="N19" s="249"/>
      <c r="O19" s="205" t="s">
        <v>13</v>
      </c>
      <c r="P19" s="205"/>
      <c r="Q19" s="205"/>
      <c r="R19" s="205"/>
      <c r="S19" s="205"/>
      <c r="T19" s="205" t="s">
        <v>10</v>
      </c>
      <c r="U19" s="227"/>
      <c r="V19" s="205"/>
      <c r="W19" s="205"/>
      <c r="X19" s="205"/>
      <c r="Y19" s="205"/>
      <c r="Z19" s="205"/>
      <c r="AA19" s="205"/>
      <c r="AB19" s="227" t="s">
        <v>5</v>
      </c>
      <c r="AC19" s="205"/>
      <c r="AD19" s="35"/>
      <c r="AE19" s="35"/>
      <c r="AF19" s="150"/>
      <c r="AG19" s="204">
        <f t="shared" si="0"/>
        <v>1</v>
      </c>
      <c r="AH19" s="9">
        <f t="shared" si="1"/>
        <v>3</v>
      </c>
      <c r="AI19" s="122">
        <v>0</v>
      </c>
      <c r="AJ19" s="115">
        <f>'2026.9.'!AL19</f>
        <v>46319</v>
      </c>
      <c r="AK19" s="8">
        <f t="shared" si="2"/>
        <v>46309</v>
      </c>
      <c r="AL19" s="8">
        <f t="shared" si="3"/>
        <v>46349</v>
      </c>
      <c r="AM19" s="81"/>
    </row>
    <row r="20" spans="1:39" x14ac:dyDescent="0.3">
      <c r="A20" s="10">
        <v>115</v>
      </c>
      <c r="B20" s="137"/>
      <c r="C20" s="35"/>
      <c r="D20" s="35"/>
      <c r="E20" s="35"/>
      <c r="F20" s="35" t="s">
        <v>5</v>
      </c>
      <c r="G20" s="35"/>
      <c r="H20" s="35"/>
      <c r="I20" s="35"/>
      <c r="J20" s="35"/>
      <c r="K20" s="35"/>
      <c r="L20" s="35"/>
      <c r="M20" s="35" t="s">
        <v>5</v>
      </c>
      <c r="N20" s="35"/>
      <c r="O20" s="35"/>
      <c r="P20" s="35"/>
      <c r="Q20" s="35"/>
      <c r="R20" s="35"/>
      <c r="S20" s="35" t="s">
        <v>5</v>
      </c>
      <c r="T20" s="35"/>
      <c r="U20" s="35"/>
      <c r="V20" s="35"/>
      <c r="W20" s="35" t="s">
        <v>13</v>
      </c>
      <c r="X20" s="35"/>
      <c r="Y20" s="35"/>
      <c r="Z20" s="35" t="s">
        <v>5</v>
      </c>
      <c r="AA20" s="35"/>
      <c r="AB20" s="35"/>
      <c r="AC20" s="35"/>
      <c r="AD20" s="35"/>
      <c r="AE20" s="35"/>
      <c r="AF20" s="149"/>
      <c r="AG20" s="204">
        <f t="shared" si="0"/>
        <v>1</v>
      </c>
      <c r="AH20" s="9">
        <f t="shared" si="1"/>
        <v>4</v>
      </c>
      <c r="AI20" s="122">
        <v>0</v>
      </c>
      <c r="AJ20" s="115">
        <f>'2026.9.'!AL20</f>
        <v>46316</v>
      </c>
      <c r="AK20" s="8">
        <f t="shared" si="2"/>
        <v>46317</v>
      </c>
      <c r="AL20" s="8">
        <f t="shared" si="3"/>
        <v>46357</v>
      </c>
    </row>
    <row r="21" spans="1:39" x14ac:dyDescent="0.3">
      <c r="A21" s="10">
        <v>116</v>
      </c>
      <c r="B21" s="120"/>
      <c r="C21" s="35"/>
      <c r="D21" s="35"/>
      <c r="E21" s="35"/>
      <c r="F21" s="35"/>
      <c r="G21" s="35" t="s">
        <v>5</v>
      </c>
      <c r="H21" s="35"/>
      <c r="I21" s="35"/>
      <c r="J21" s="35"/>
      <c r="K21" s="35"/>
      <c r="L21" s="35"/>
      <c r="M21" s="35" t="s">
        <v>5</v>
      </c>
      <c r="N21" s="35"/>
      <c r="O21" s="35"/>
      <c r="P21" s="35"/>
      <c r="Q21" s="35"/>
      <c r="R21" s="35"/>
      <c r="S21" s="35"/>
      <c r="T21" s="35" t="s">
        <v>5</v>
      </c>
      <c r="U21" s="35"/>
      <c r="V21" s="35"/>
      <c r="W21" s="35"/>
      <c r="X21" s="35"/>
      <c r="Y21" s="35"/>
      <c r="Z21" s="35"/>
      <c r="AA21" s="35" t="s">
        <v>5</v>
      </c>
      <c r="AB21" s="35"/>
      <c r="AC21" s="35"/>
      <c r="AD21" s="35"/>
      <c r="AE21" s="35"/>
      <c r="AF21" s="149"/>
      <c r="AG21" s="204">
        <f t="shared" si="0"/>
        <v>0</v>
      </c>
      <c r="AH21" s="9">
        <f t="shared" si="1"/>
        <v>4</v>
      </c>
      <c r="AI21" s="122">
        <v>0</v>
      </c>
      <c r="AJ21" s="115">
        <f>'2026.9.'!AL21</f>
        <v>46335</v>
      </c>
      <c r="AK21" s="8" t="str">
        <f t="shared" si="2"/>
        <v/>
      </c>
      <c r="AL21" s="8">
        <f>AJ21</f>
        <v>46335</v>
      </c>
    </row>
    <row r="22" spans="1:39" x14ac:dyDescent="0.3">
      <c r="A22" s="10">
        <v>117</v>
      </c>
      <c r="B22" s="137"/>
      <c r="C22" s="35"/>
      <c r="D22" s="35"/>
      <c r="E22" s="35" t="s">
        <v>5</v>
      </c>
      <c r="F22" s="35"/>
      <c r="G22" s="35"/>
      <c r="H22" s="35"/>
      <c r="I22" s="35"/>
      <c r="J22" s="35"/>
      <c r="K22" s="35"/>
      <c r="L22" s="35" t="s">
        <v>5</v>
      </c>
      <c r="M22" s="35"/>
      <c r="N22" s="35"/>
      <c r="O22" s="35"/>
      <c r="P22" s="35"/>
      <c r="Q22" s="35"/>
      <c r="R22" s="35"/>
      <c r="S22" s="35" t="s">
        <v>5</v>
      </c>
      <c r="T22" s="35"/>
      <c r="U22" s="35"/>
      <c r="V22" s="35"/>
      <c r="W22" s="35"/>
      <c r="X22" s="35"/>
      <c r="Y22" s="35"/>
      <c r="Z22" s="35" t="s">
        <v>5</v>
      </c>
      <c r="AA22" s="35"/>
      <c r="AB22" s="35"/>
      <c r="AC22" s="35" t="s">
        <v>13</v>
      </c>
      <c r="AD22" s="35"/>
      <c r="AE22" s="35"/>
      <c r="AF22" s="149"/>
      <c r="AG22" s="204">
        <f t="shared" si="0"/>
        <v>1</v>
      </c>
      <c r="AH22" s="9">
        <f t="shared" si="1"/>
        <v>4</v>
      </c>
      <c r="AI22" s="122">
        <v>0</v>
      </c>
      <c r="AJ22" s="115">
        <f>'2026.9.'!AL22</f>
        <v>46320</v>
      </c>
      <c r="AK22" s="8">
        <f t="shared" si="2"/>
        <v>46323</v>
      </c>
      <c r="AL22" s="8">
        <f t="shared" si="3"/>
        <v>46363</v>
      </c>
      <c r="AM22" s="81"/>
    </row>
    <row r="23" spans="1:39" x14ac:dyDescent="0.3">
      <c r="A23" s="10">
        <v>118</v>
      </c>
      <c r="B23" s="137"/>
      <c r="C23" s="35" t="s">
        <v>10</v>
      </c>
      <c r="D23" s="35"/>
      <c r="E23" s="35"/>
      <c r="F23" s="35"/>
      <c r="G23" s="35" t="s">
        <v>13</v>
      </c>
      <c r="H23" s="35"/>
      <c r="I23" s="35"/>
      <c r="J23" s="35"/>
      <c r="K23" s="35" t="s">
        <v>5</v>
      </c>
      <c r="L23" s="35"/>
      <c r="M23" s="35"/>
      <c r="N23" s="35"/>
      <c r="O23" s="35"/>
      <c r="P23" s="35"/>
      <c r="Q23" s="35"/>
      <c r="R23" s="35" t="s">
        <v>5</v>
      </c>
      <c r="S23" s="35"/>
      <c r="T23" s="35"/>
      <c r="U23" s="35"/>
      <c r="V23" s="35"/>
      <c r="W23" s="35"/>
      <c r="X23" s="35"/>
      <c r="Y23" s="35" t="s">
        <v>5</v>
      </c>
      <c r="Z23" s="35"/>
      <c r="AA23" s="35"/>
      <c r="AB23" s="35"/>
      <c r="AC23" s="35"/>
      <c r="AD23" s="205"/>
      <c r="AE23" s="205"/>
      <c r="AF23" s="149" t="s">
        <v>5</v>
      </c>
      <c r="AG23" s="204">
        <f t="shared" si="0"/>
        <v>1</v>
      </c>
      <c r="AH23" s="9">
        <f t="shared" si="1"/>
        <v>5</v>
      </c>
      <c r="AI23" s="122">
        <v>0</v>
      </c>
      <c r="AJ23" s="115">
        <f>'2026.9.'!AL23</f>
        <v>46306</v>
      </c>
      <c r="AK23" s="8">
        <f t="shared" si="2"/>
        <v>46301</v>
      </c>
      <c r="AL23" s="8">
        <f t="shared" si="3"/>
        <v>46341</v>
      </c>
      <c r="AM23" s="80"/>
    </row>
    <row r="24" spans="1:39" x14ac:dyDescent="0.3">
      <c r="A24" s="10">
        <v>119</v>
      </c>
      <c r="B24" s="291" t="s">
        <v>193</v>
      </c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251"/>
      <c r="Q24" s="251"/>
      <c r="R24" s="251"/>
      <c r="S24" s="251"/>
      <c r="T24" s="251"/>
      <c r="U24" s="251"/>
      <c r="V24" s="251"/>
      <c r="W24" s="251"/>
      <c r="X24" s="284"/>
      <c r="Y24" s="35"/>
      <c r="Z24" s="35"/>
      <c r="AA24" s="35" t="s">
        <v>13</v>
      </c>
      <c r="AB24" s="35"/>
      <c r="AC24" s="35"/>
      <c r="AD24" s="35" t="s">
        <v>5</v>
      </c>
      <c r="AE24" s="35"/>
      <c r="AF24" s="150"/>
      <c r="AG24" s="204">
        <f t="shared" si="0"/>
        <v>1</v>
      </c>
      <c r="AH24" s="9">
        <f t="shared" si="1"/>
        <v>1</v>
      </c>
      <c r="AI24" s="122">
        <v>0</v>
      </c>
      <c r="AJ24" s="115">
        <f>'2026.9.'!AL24</f>
        <v>46274</v>
      </c>
      <c r="AK24" s="8">
        <f t="shared" si="2"/>
        <v>46321</v>
      </c>
      <c r="AL24" s="8">
        <f t="shared" si="3"/>
        <v>46361</v>
      </c>
      <c r="AM24" s="80"/>
    </row>
    <row r="25" spans="1:39" x14ac:dyDescent="0.3">
      <c r="A25" s="10">
        <v>120</v>
      </c>
      <c r="B25" s="120"/>
      <c r="C25" s="205"/>
      <c r="D25" s="205"/>
      <c r="E25" s="205"/>
      <c r="F25" s="227" t="s">
        <v>5</v>
      </c>
      <c r="G25" s="205"/>
      <c r="H25" s="205"/>
      <c r="I25" s="205"/>
      <c r="J25" s="35"/>
      <c r="K25" s="35"/>
      <c r="L25" s="35"/>
      <c r="M25" s="35" t="s">
        <v>5</v>
      </c>
      <c r="N25" s="35"/>
      <c r="O25" s="35"/>
      <c r="P25" s="205"/>
      <c r="Q25" s="205"/>
      <c r="R25" s="205"/>
      <c r="S25" s="205"/>
      <c r="T25" s="227"/>
      <c r="U25" s="205" t="s">
        <v>10</v>
      </c>
      <c r="V25" s="205"/>
      <c r="W25" s="205"/>
      <c r="X25" s="205"/>
      <c r="Y25" s="205"/>
      <c r="Z25" s="205"/>
      <c r="AA25" s="205"/>
      <c r="AB25" s="241"/>
      <c r="AC25" s="331" t="s">
        <v>195</v>
      </c>
      <c r="AD25" s="331"/>
      <c r="AE25" s="331"/>
      <c r="AF25" s="332"/>
      <c r="AG25" s="204">
        <f t="shared" si="0"/>
        <v>0</v>
      </c>
      <c r="AH25" s="9">
        <f t="shared" si="1"/>
        <v>3</v>
      </c>
      <c r="AI25" s="122">
        <v>0</v>
      </c>
      <c r="AJ25" s="115">
        <f>'2026.9.'!AL25</f>
        <v>46321</v>
      </c>
      <c r="AK25" s="8" t="str">
        <f t="shared" si="2"/>
        <v/>
      </c>
      <c r="AL25" s="8">
        <f>AJ25</f>
        <v>46321</v>
      </c>
      <c r="AM25" s="81"/>
    </row>
    <row r="26" spans="1:39" x14ac:dyDescent="0.3">
      <c r="A26" s="10">
        <v>121</v>
      </c>
      <c r="B26" s="120"/>
      <c r="C26" s="205"/>
      <c r="D26" s="35"/>
      <c r="E26" s="35"/>
      <c r="F26" s="35" t="s">
        <v>5</v>
      </c>
      <c r="G26" s="35"/>
      <c r="H26" s="205"/>
      <c r="I26" s="35"/>
      <c r="J26" s="35"/>
      <c r="K26" s="35"/>
      <c r="L26" s="35" t="s">
        <v>5</v>
      </c>
      <c r="M26" s="35"/>
      <c r="N26" s="35"/>
      <c r="O26" s="35"/>
      <c r="P26" s="205"/>
      <c r="Q26" s="205"/>
      <c r="R26" s="205"/>
      <c r="S26" s="227" t="s">
        <v>5</v>
      </c>
      <c r="T26" s="205"/>
      <c r="U26" s="205"/>
      <c r="V26" s="205"/>
      <c r="W26" s="205"/>
      <c r="X26" s="205" t="s">
        <v>13</v>
      </c>
      <c r="Y26" s="205"/>
      <c r="Z26" s="227" t="s">
        <v>5</v>
      </c>
      <c r="AA26" s="205"/>
      <c r="AB26" s="205"/>
      <c r="AC26" s="205"/>
      <c r="AD26" s="205"/>
      <c r="AE26" s="205"/>
      <c r="AF26" s="149"/>
      <c r="AG26" s="204">
        <f t="shared" si="0"/>
        <v>1</v>
      </c>
      <c r="AH26" s="9">
        <f t="shared" si="1"/>
        <v>4</v>
      </c>
      <c r="AI26" s="122">
        <v>0</v>
      </c>
      <c r="AJ26" s="115">
        <f>'2026.9.'!AL26</f>
        <v>46323</v>
      </c>
      <c r="AK26" s="8">
        <f t="shared" si="2"/>
        <v>46318</v>
      </c>
      <c r="AL26" s="8">
        <f t="shared" si="3"/>
        <v>46358</v>
      </c>
    </row>
    <row r="27" spans="1:39" x14ac:dyDescent="0.3">
      <c r="A27" s="10">
        <v>122</v>
      </c>
      <c r="B27" s="120" t="s">
        <v>5</v>
      </c>
      <c r="C27" s="205" t="s">
        <v>13</v>
      </c>
      <c r="D27" s="205"/>
      <c r="E27" s="205"/>
      <c r="F27" s="205"/>
      <c r="G27" s="205"/>
      <c r="H27" s="205"/>
      <c r="I27" s="227" t="s">
        <v>5</v>
      </c>
      <c r="J27" s="205"/>
      <c r="K27" s="205"/>
      <c r="L27" s="205"/>
      <c r="M27" s="205"/>
      <c r="N27" s="205"/>
      <c r="O27" s="205"/>
      <c r="P27" s="227" t="s">
        <v>5</v>
      </c>
      <c r="Q27" s="35"/>
      <c r="R27" s="35"/>
      <c r="S27" s="35"/>
      <c r="T27" s="35"/>
      <c r="U27" s="35"/>
      <c r="V27" s="35"/>
      <c r="W27" s="227" t="s">
        <v>5</v>
      </c>
      <c r="X27" s="205"/>
      <c r="Y27" s="35"/>
      <c r="Z27" s="35"/>
      <c r="AA27" s="35"/>
      <c r="AB27" s="35"/>
      <c r="AC27" s="205"/>
      <c r="AD27" s="205"/>
      <c r="AE27" s="227" t="s">
        <v>5</v>
      </c>
      <c r="AF27" s="149"/>
      <c r="AG27" s="204">
        <f t="shared" si="0"/>
        <v>1</v>
      </c>
      <c r="AH27" s="9">
        <f t="shared" si="1"/>
        <v>5</v>
      </c>
      <c r="AI27" s="122">
        <v>0</v>
      </c>
      <c r="AJ27" s="115">
        <f>'2026.9.'!AL27</f>
        <v>46305</v>
      </c>
      <c r="AK27" s="8">
        <f t="shared" si="2"/>
        <v>46297</v>
      </c>
      <c r="AL27" s="8">
        <f t="shared" si="3"/>
        <v>46337</v>
      </c>
    </row>
    <row r="28" spans="1:39" ht="17.25" thickBot="1" x14ac:dyDescent="0.35">
      <c r="A28" s="10">
        <v>123</v>
      </c>
      <c r="B28" s="179"/>
      <c r="C28" s="183"/>
      <c r="D28" s="183" t="s">
        <v>10</v>
      </c>
      <c r="E28" s="183"/>
      <c r="F28" s="183"/>
      <c r="G28" s="183"/>
      <c r="H28" s="183"/>
      <c r="I28" s="183"/>
      <c r="J28" s="127"/>
      <c r="K28" s="127" t="s">
        <v>10</v>
      </c>
      <c r="L28" s="127"/>
      <c r="M28" s="127"/>
      <c r="N28" s="127"/>
      <c r="O28" s="333" t="s">
        <v>126</v>
      </c>
      <c r="P28" s="334"/>
      <c r="Q28" s="334"/>
      <c r="R28" s="334"/>
      <c r="S28" s="334"/>
      <c r="T28" s="334"/>
      <c r="U28" s="335"/>
      <c r="V28" s="127" t="s">
        <v>13</v>
      </c>
      <c r="W28" s="127"/>
      <c r="X28" s="127"/>
      <c r="Y28" s="127"/>
      <c r="Z28" s="127"/>
      <c r="AA28" s="127"/>
      <c r="AB28" s="127" t="s">
        <v>5</v>
      </c>
      <c r="AC28" s="127"/>
      <c r="AD28" s="127"/>
      <c r="AE28" s="127"/>
      <c r="AF28" s="180"/>
      <c r="AG28" s="128">
        <f t="shared" si="0"/>
        <v>1</v>
      </c>
      <c r="AH28" s="184">
        <f t="shared" si="1"/>
        <v>3</v>
      </c>
      <c r="AI28" s="185">
        <v>0</v>
      </c>
      <c r="AJ28" s="115">
        <f>'2026.9.'!AL28</f>
        <v>46326</v>
      </c>
      <c r="AK28" s="8">
        <f t="shared" si="2"/>
        <v>46316</v>
      </c>
      <c r="AL28" s="8">
        <f t="shared" si="3"/>
        <v>46356</v>
      </c>
    </row>
    <row r="29" spans="1:39" x14ac:dyDescent="0.3">
      <c r="A29" s="10" t="s">
        <v>10</v>
      </c>
      <c r="B29" s="118">
        <f>COUNTIF(B6:B28,"7D")</f>
        <v>3</v>
      </c>
      <c r="C29" s="18">
        <f t="shared" ref="C29:AF29" si="4">COUNTIF(C6:C28,"7D")</f>
        <v>3</v>
      </c>
      <c r="D29" s="18">
        <f t="shared" si="4"/>
        <v>3</v>
      </c>
      <c r="E29" s="18">
        <f t="shared" si="4"/>
        <v>3</v>
      </c>
      <c r="F29" s="18">
        <f t="shared" si="4"/>
        <v>3</v>
      </c>
      <c r="G29" s="18">
        <f t="shared" si="4"/>
        <v>3</v>
      </c>
      <c r="H29" s="18">
        <f t="shared" si="4"/>
        <v>3</v>
      </c>
      <c r="I29" s="18">
        <f t="shared" si="4"/>
        <v>3</v>
      </c>
      <c r="J29" s="18">
        <f t="shared" si="4"/>
        <v>3</v>
      </c>
      <c r="K29" s="18">
        <f t="shared" si="4"/>
        <v>3</v>
      </c>
      <c r="L29" s="18">
        <f t="shared" si="4"/>
        <v>3</v>
      </c>
      <c r="M29" s="18">
        <f t="shared" si="4"/>
        <v>3</v>
      </c>
      <c r="N29" s="18">
        <f t="shared" si="4"/>
        <v>3</v>
      </c>
      <c r="O29" s="18">
        <f t="shared" si="4"/>
        <v>3</v>
      </c>
      <c r="P29" s="18">
        <f t="shared" si="4"/>
        <v>3</v>
      </c>
      <c r="Q29" s="18">
        <f t="shared" si="4"/>
        <v>3</v>
      </c>
      <c r="R29" s="18">
        <f t="shared" si="4"/>
        <v>3</v>
      </c>
      <c r="S29" s="18">
        <f t="shared" si="4"/>
        <v>3</v>
      </c>
      <c r="T29" s="18">
        <f t="shared" si="4"/>
        <v>3</v>
      </c>
      <c r="U29" s="18">
        <f t="shared" si="4"/>
        <v>3</v>
      </c>
      <c r="V29" s="18">
        <f t="shared" si="4"/>
        <v>3</v>
      </c>
      <c r="W29" s="18">
        <f t="shared" si="4"/>
        <v>3</v>
      </c>
      <c r="X29" s="18">
        <f t="shared" si="4"/>
        <v>2</v>
      </c>
      <c r="Y29" s="18">
        <f t="shared" si="4"/>
        <v>3</v>
      </c>
      <c r="Z29" s="18">
        <f t="shared" si="4"/>
        <v>3</v>
      </c>
      <c r="AA29" s="18">
        <f t="shared" si="4"/>
        <v>3</v>
      </c>
      <c r="AB29" s="18">
        <f t="shared" si="4"/>
        <v>3</v>
      </c>
      <c r="AC29" s="18">
        <f t="shared" si="4"/>
        <v>3</v>
      </c>
      <c r="AD29" s="18">
        <f t="shared" si="4"/>
        <v>3</v>
      </c>
      <c r="AE29" s="18">
        <f t="shared" si="4"/>
        <v>2</v>
      </c>
      <c r="AF29" s="151">
        <f t="shared" si="4"/>
        <v>3</v>
      </c>
      <c r="AG29" s="199"/>
      <c r="AH29" s="181">
        <f>SUM(B29:AF29)</f>
        <v>91</v>
      </c>
      <c r="AI29" s="182"/>
      <c r="AJ29" s="2"/>
      <c r="AK29" s="14"/>
      <c r="AL29" s="1"/>
    </row>
    <row r="30" spans="1:39" x14ac:dyDescent="0.3">
      <c r="A30" s="10" t="s">
        <v>6</v>
      </c>
      <c r="B30" s="120">
        <v>1</v>
      </c>
      <c r="C30" s="205">
        <v>1</v>
      </c>
      <c r="D30" s="205">
        <v>0</v>
      </c>
      <c r="E30" s="205">
        <v>0</v>
      </c>
      <c r="F30" s="205">
        <v>0</v>
      </c>
      <c r="G30" s="205">
        <v>1</v>
      </c>
      <c r="H30" s="205">
        <v>1</v>
      </c>
      <c r="I30" s="205">
        <v>1</v>
      </c>
      <c r="J30" s="205">
        <v>0</v>
      </c>
      <c r="K30" s="205">
        <v>0</v>
      </c>
      <c r="L30" s="205">
        <v>0</v>
      </c>
      <c r="M30" s="205">
        <v>1</v>
      </c>
      <c r="N30" s="205">
        <v>1</v>
      </c>
      <c r="O30" s="205">
        <v>1</v>
      </c>
      <c r="P30" s="205">
        <v>1</v>
      </c>
      <c r="Q30" s="205">
        <v>0</v>
      </c>
      <c r="R30" s="205">
        <v>0</v>
      </c>
      <c r="S30" s="205">
        <v>0</v>
      </c>
      <c r="T30" s="205">
        <v>1</v>
      </c>
      <c r="U30" s="205">
        <v>1</v>
      </c>
      <c r="V30" s="205">
        <v>1</v>
      </c>
      <c r="W30" s="205">
        <v>1</v>
      </c>
      <c r="X30" s="205">
        <v>1</v>
      </c>
      <c r="Y30" s="205">
        <v>0</v>
      </c>
      <c r="Z30" s="205">
        <v>0</v>
      </c>
      <c r="AA30" s="205">
        <v>1</v>
      </c>
      <c r="AB30" s="205">
        <v>1</v>
      </c>
      <c r="AC30" s="205">
        <v>1</v>
      </c>
      <c r="AD30" s="205">
        <v>1</v>
      </c>
      <c r="AE30" s="205">
        <v>1</v>
      </c>
      <c r="AF30" s="149">
        <v>0</v>
      </c>
      <c r="AG30" s="204"/>
      <c r="AH30" s="198"/>
      <c r="AI30" s="203">
        <f>SUM(B30:AF30)</f>
        <v>19</v>
      </c>
      <c r="AJ30" s="2"/>
      <c r="AK30" s="1"/>
      <c r="AL30" s="1"/>
    </row>
    <row r="31" spans="1:39" ht="17.25" thickBot="1" x14ac:dyDescent="0.35">
      <c r="A31" s="10" t="s">
        <v>12</v>
      </c>
      <c r="B31" s="179">
        <f>COUNTIF(B6:B28,"청")</f>
        <v>1</v>
      </c>
      <c r="C31" s="127">
        <f t="shared" ref="C31:AF31" si="5">COUNTIF(C6:C28,"청")</f>
        <v>1</v>
      </c>
      <c r="D31" s="127">
        <f t="shared" si="5"/>
        <v>0</v>
      </c>
      <c r="E31" s="127">
        <f t="shared" si="5"/>
        <v>0</v>
      </c>
      <c r="F31" s="127">
        <f t="shared" si="5"/>
        <v>0</v>
      </c>
      <c r="G31" s="127">
        <f t="shared" si="5"/>
        <v>1</v>
      </c>
      <c r="H31" s="127">
        <f t="shared" si="5"/>
        <v>1</v>
      </c>
      <c r="I31" s="127">
        <f t="shared" si="5"/>
        <v>1</v>
      </c>
      <c r="J31" s="127">
        <f t="shared" si="5"/>
        <v>0</v>
      </c>
      <c r="K31" s="127">
        <f t="shared" si="5"/>
        <v>0</v>
      </c>
      <c r="L31" s="127">
        <f t="shared" si="5"/>
        <v>0</v>
      </c>
      <c r="M31" s="127">
        <f t="shared" si="5"/>
        <v>1</v>
      </c>
      <c r="N31" s="127">
        <f t="shared" si="5"/>
        <v>1</v>
      </c>
      <c r="O31" s="127">
        <f t="shared" si="5"/>
        <v>1</v>
      </c>
      <c r="P31" s="127">
        <f t="shared" si="5"/>
        <v>1</v>
      </c>
      <c r="Q31" s="127">
        <f t="shared" si="5"/>
        <v>0</v>
      </c>
      <c r="R31" s="127">
        <f t="shared" si="5"/>
        <v>0</v>
      </c>
      <c r="S31" s="127">
        <f t="shared" si="5"/>
        <v>0</v>
      </c>
      <c r="T31" s="127">
        <f t="shared" si="5"/>
        <v>1</v>
      </c>
      <c r="U31" s="127">
        <f t="shared" si="5"/>
        <v>1</v>
      </c>
      <c r="V31" s="127">
        <f t="shared" si="5"/>
        <v>1</v>
      </c>
      <c r="W31" s="127">
        <f t="shared" si="5"/>
        <v>1</v>
      </c>
      <c r="X31" s="127">
        <f t="shared" si="5"/>
        <v>1</v>
      </c>
      <c r="Y31" s="127">
        <f t="shared" si="5"/>
        <v>0</v>
      </c>
      <c r="Z31" s="127">
        <f t="shared" si="5"/>
        <v>0</v>
      </c>
      <c r="AA31" s="127">
        <f t="shared" si="5"/>
        <v>1</v>
      </c>
      <c r="AB31" s="127">
        <f t="shared" si="5"/>
        <v>1</v>
      </c>
      <c r="AC31" s="127">
        <f t="shared" si="5"/>
        <v>1</v>
      </c>
      <c r="AD31" s="127">
        <f t="shared" si="5"/>
        <v>1</v>
      </c>
      <c r="AE31" s="127">
        <f t="shared" si="5"/>
        <v>1</v>
      </c>
      <c r="AF31" s="180">
        <f t="shared" si="5"/>
        <v>0</v>
      </c>
      <c r="AG31" s="128"/>
      <c r="AH31" s="278">
        <f>SUM(B31:AF31)</f>
        <v>19</v>
      </c>
      <c r="AI31" s="279"/>
      <c r="AJ31" s="2"/>
      <c r="AK31" s="1"/>
      <c r="AL31" s="1"/>
    </row>
    <row r="32" spans="1:39" x14ac:dyDescent="0.3">
      <c r="A32" s="17"/>
      <c r="B32" s="17"/>
      <c r="C32" s="85"/>
      <c r="D32" s="105"/>
      <c r="E32" s="86"/>
      <c r="F32" s="106"/>
      <c r="G32" s="34"/>
      <c r="H32" s="34"/>
      <c r="I32" s="34"/>
      <c r="J32" s="34"/>
      <c r="K32" s="87"/>
      <c r="T32" s="83"/>
      <c r="AA32" s="34"/>
      <c r="AB32" s="82"/>
      <c r="AD32" s="83"/>
    </row>
    <row r="34" spans="1:24" x14ac:dyDescent="0.3">
      <c r="A34" s="17"/>
      <c r="B34" s="328" t="s">
        <v>68</v>
      </c>
      <c r="C34" s="328"/>
      <c r="D34" s="328"/>
      <c r="E34" s="329">
        <v>46298</v>
      </c>
      <c r="F34" s="329"/>
      <c r="G34" s="329"/>
      <c r="H34" s="330">
        <v>46298</v>
      </c>
      <c r="I34" s="330"/>
      <c r="J34" s="330"/>
    </row>
    <row r="35" spans="1:24" x14ac:dyDescent="0.3">
      <c r="A35" s="17"/>
      <c r="B35" s="328" t="s">
        <v>60</v>
      </c>
      <c r="C35" s="328"/>
      <c r="D35" s="328"/>
      <c r="E35" s="329">
        <v>46300</v>
      </c>
      <c r="F35" s="329"/>
      <c r="G35" s="329"/>
      <c r="H35" s="330">
        <v>46300</v>
      </c>
      <c r="I35" s="330"/>
      <c r="J35" s="330"/>
      <c r="X35" t="s">
        <v>185</v>
      </c>
    </row>
    <row r="36" spans="1:24" ht="26.25" x14ac:dyDescent="0.3">
      <c r="A36" s="17"/>
      <c r="B36" s="328" t="s">
        <v>69</v>
      </c>
      <c r="C36" s="328"/>
      <c r="D36" s="328"/>
      <c r="E36" s="329">
        <v>46304</v>
      </c>
      <c r="F36" s="329"/>
      <c r="G36" s="329"/>
      <c r="H36" s="330">
        <v>46304</v>
      </c>
      <c r="I36" s="330"/>
      <c r="J36" s="330"/>
      <c r="X36" s="217" t="s">
        <v>192</v>
      </c>
    </row>
    <row r="37" spans="1:24" x14ac:dyDescent="0.3">
      <c r="B37" s="328" t="s">
        <v>70</v>
      </c>
      <c r="C37" s="328"/>
      <c r="D37" s="328"/>
      <c r="E37" s="329">
        <v>46311</v>
      </c>
      <c r="F37" s="329"/>
      <c r="G37" s="329"/>
      <c r="H37" s="330">
        <v>46311</v>
      </c>
      <c r="I37" s="330"/>
      <c r="J37" s="330"/>
      <c r="M37" s="17"/>
      <c r="N37" s="135"/>
      <c r="O37" s="136"/>
    </row>
    <row r="38" spans="1:24" x14ac:dyDescent="0.3">
      <c r="B38" s="328"/>
      <c r="C38" s="328"/>
      <c r="D38" s="328"/>
      <c r="E38" s="294"/>
      <c r="F38" s="294"/>
      <c r="G38" s="294"/>
      <c r="H38" s="295"/>
      <c r="I38" s="295"/>
      <c r="J38" s="295"/>
      <c r="M38" s="17"/>
      <c r="N38" s="135"/>
      <c r="O38" s="136"/>
      <c r="X38" t="s">
        <v>184</v>
      </c>
    </row>
    <row r="39" spans="1:24" ht="26.25" x14ac:dyDescent="0.3">
      <c r="B39" s="328"/>
      <c r="C39" s="328"/>
      <c r="D39" s="328"/>
      <c r="E39" s="294"/>
      <c r="F39" s="294"/>
      <c r="G39" s="294"/>
      <c r="H39" s="295"/>
      <c r="I39" s="295"/>
      <c r="J39" s="295"/>
      <c r="X39" s="84" t="s">
        <v>191</v>
      </c>
    </row>
  </sheetData>
  <mergeCells count="61">
    <mergeCell ref="O28:U28"/>
    <mergeCell ref="N3:N4"/>
    <mergeCell ref="A1:AI1"/>
    <mergeCell ref="A2:AI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T3:T4"/>
    <mergeCell ref="U3:U4"/>
    <mergeCell ref="V3:V4"/>
    <mergeCell ref="O3:O4"/>
    <mergeCell ref="P3:P4"/>
    <mergeCell ref="Q3:Q4"/>
    <mergeCell ref="R3:R4"/>
    <mergeCell ref="S3:S4"/>
    <mergeCell ref="AH31:AI31"/>
    <mergeCell ref="AG3:AI4"/>
    <mergeCell ref="AA3:AA4"/>
    <mergeCell ref="AB3:AB4"/>
    <mergeCell ref="AC3:AC4"/>
    <mergeCell ref="AD3:AD4"/>
    <mergeCell ref="AE3:AE4"/>
    <mergeCell ref="AF3:AF4"/>
    <mergeCell ref="V8:AA8"/>
    <mergeCell ref="AB11:AE11"/>
    <mergeCell ref="Z3:Z4"/>
    <mergeCell ref="Y3:Y4"/>
    <mergeCell ref="AC25:AF25"/>
    <mergeCell ref="W3:W4"/>
    <mergeCell ref="X3:X4"/>
    <mergeCell ref="B24:X24"/>
    <mergeCell ref="B13:G13"/>
    <mergeCell ref="H19:N19"/>
    <mergeCell ref="B36:D36"/>
    <mergeCell ref="E36:G36"/>
    <mergeCell ref="H36:J36"/>
    <mergeCell ref="B39:D39"/>
    <mergeCell ref="E39:G39"/>
    <mergeCell ref="H39:J39"/>
    <mergeCell ref="B34:D34"/>
    <mergeCell ref="B35:D35"/>
    <mergeCell ref="E34:G34"/>
    <mergeCell ref="E35:G35"/>
    <mergeCell ref="H34:J34"/>
    <mergeCell ref="H35:J35"/>
    <mergeCell ref="B37:D37"/>
    <mergeCell ref="E37:G37"/>
    <mergeCell ref="H37:J37"/>
    <mergeCell ref="B38:D38"/>
    <mergeCell ref="E38:G38"/>
    <mergeCell ref="H38:J38"/>
  </mergeCells>
  <phoneticPr fontId="3" type="noConversion"/>
  <conditionalFormatting sqref="B3:AF7 B8:V8 AB8:AF8 B9:AF10 B11:AB11 AF11 B12:AF12 B13 H13:AF13 B14:AF18 B19:H19 O19:AF19 B20:AF23 B24 Y24:AF24 B25:AB25 B26:AF27 B28:O28 V28:AF28 B29:AF31">
    <cfRule type="expression" dxfId="2" priority="1">
      <formula>OR(WEEKDAY(B$3,1)=7,WEEKDAY(B$3,1)=1,B$3=$E$34:$G$39)</formula>
    </cfRule>
  </conditionalFormatting>
  <pageMargins left="0.7" right="0.7" top="0.75" bottom="0.75" header="0.3" footer="0.3"/>
  <pageSetup paperSize="9" scale="63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96E3-FB7E-4C40-80F8-166E62CE1E2C}">
  <sheetPr>
    <pageSetUpPr fitToPage="1"/>
  </sheetPr>
  <dimension ref="A1:AM39"/>
  <sheetViews>
    <sheetView workbookViewId="0">
      <pane ySplit="5" topLeftCell="A21" activePane="bottomLeft" state="frozen"/>
      <selection pane="bottomLeft" activeCell="AQ22" sqref="AQ22"/>
    </sheetView>
  </sheetViews>
  <sheetFormatPr defaultRowHeight="16.5" x14ac:dyDescent="0.3"/>
  <cols>
    <col min="1" max="1" width="9.125" bestFit="1" customWidth="1"/>
    <col min="2" max="31" width="3.75" customWidth="1"/>
    <col min="32" max="32" width="3.25" hidden="1" customWidth="1"/>
    <col min="33" max="35" width="3.75" customWidth="1"/>
    <col min="36" max="36" width="12.5" hidden="1" customWidth="1"/>
    <col min="37" max="38" width="11.25" hidden="1" customWidth="1"/>
    <col min="39" max="39" width="10.375" hidden="1" customWidth="1"/>
  </cols>
  <sheetData>
    <row r="1" spans="1:39" x14ac:dyDescent="0.3">
      <c r="A1" s="264" t="s">
        <v>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06"/>
      <c r="AK1" s="1"/>
      <c r="AL1" s="1"/>
    </row>
    <row r="2" spans="1:39" ht="17.25" thickBot="1" x14ac:dyDescent="0.35">
      <c r="A2" s="266" t="s">
        <v>174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07"/>
      <c r="AK2" s="1"/>
      <c r="AL2" s="1"/>
    </row>
    <row r="3" spans="1:39" x14ac:dyDescent="0.3">
      <c r="A3" s="268" t="s">
        <v>1</v>
      </c>
      <c r="B3" s="311">
        <v>46327</v>
      </c>
      <c r="C3" s="309">
        <v>46328</v>
      </c>
      <c r="D3" s="309">
        <v>46329</v>
      </c>
      <c r="E3" s="309">
        <v>46330</v>
      </c>
      <c r="F3" s="309">
        <v>46331</v>
      </c>
      <c r="G3" s="309">
        <v>46332</v>
      </c>
      <c r="H3" s="309">
        <v>46333</v>
      </c>
      <c r="I3" s="309">
        <v>46334</v>
      </c>
      <c r="J3" s="309">
        <v>46335</v>
      </c>
      <c r="K3" s="309">
        <v>46336</v>
      </c>
      <c r="L3" s="309">
        <v>46337</v>
      </c>
      <c r="M3" s="309">
        <v>46338</v>
      </c>
      <c r="N3" s="309">
        <v>46339</v>
      </c>
      <c r="O3" s="309">
        <v>46340</v>
      </c>
      <c r="P3" s="309">
        <v>46341</v>
      </c>
      <c r="Q3" s="309">
        <v>46342</v>
      </c>
      <c r="R3" s="309">
        <v>46343</v>
      </c>
      <c r="S3" s="309">
        <v>46344</v>
      </c>
      <c r="T3" s="309">
        <v>46345</v>
      </c>
      <c r="U3" s="309">
        <v>46346</v>
      </c>
      <c r="V3" s="309">
        <v>46347</v>
      </c>
      <c r="W3" s="309">
        <v>46348</v>
      </c>
      <c r="X3" s="309">
        <v>46349</v>
      </c>
      <c r="Y3" s="309">
        <v>46350</v>
      </c>
      <c r="Z3" s="309">
        <v>46351</v>
      </c>
      <c r="AA3" s="309">
        <v>46352</v>
      </c>
      <c r="AB3" s="309">
        <v>46353</v>
      </c>
      <c r="AC3" s="309">
        <v>46354</v>
      </c>
      <c r="AD3" s="309">
        <v>46355</v>
      </c>
      <c r="AE3" s="309">
        <v>46356</v>
      </c>
      <c r="AF3" s="309"/>
      <c r="AG3" s="296" t="s">
        <v>2</v>
      </c>
      <c r="AH3" s="285"/>
      <c r="AI3" s="286"/>
      <c r="AJ3" s="2"/>
      <c r="AK3" s="1"/>
      <c r="AL3" s="1"/>
    </row>
    <row r="4" spans="1:39" x14ac:dyDescent="0.3">
      <c r="A4" s="269"/>
      <c r="B4" s="312"/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10"/>
      <c r="Z4" s="310"/>
      <c r="AA4" s="310"/>
      <c r="AB4" s="310"/>
      <c r="AC4" s="310"/>
      <c r="AD4" s="310"/>
      <c r="AE4" s="310"/>
      <c r="AF4" s="310"/>
      <c r="AG4" s="297"/>
      <c r="AH4" s="255"/>
      <c r="AI4" s="287"/>
      <c r="AJ4" s="2"/>
      <c r="AK4" s="1"/>
      <c r="AL4" s="1"/>
    </row>
    <row r="5" spans="1:39" ht="17.25" thickBot="1" x14ac:dyDescent="0.35">
      <c r="A5" s="66" t="s">
        <v>3</v>
      </c>
      <c r="B5" s="116">
        <v>46327</v>
      </c>
      <c r="C5" s="43">
        <v>46328</v>
      </c>
      <c r="D5" s="43">
        <v>46329</v>
      </c>
      <c r="E5" s="43">
        <v>46330</v>
      </c>
      <c r="F5" s="43">
        <v>46331</v>
      </c>
      <c r="G5" s="43">
        <v>46332</v>
      </c>
      <c r="H5" s="43">
        <v>46333</v>
      </c>
      <c r="I5" s="43">
        <v>46334</v>
      </c>
      <c r="J5" s="43">
        <v>46335</v>
      </c>
      <c r="K5" s="43">
        <v>46336</v>
      </c>
      <c r="L5" s="43">
        <v>46337</v>
      </c>
      <c r="M5" s="43">
        <v>46338</v>
      </c>
      <c r="N5" s="43">
        <v>46339</v>
      </c>
      <c r="O5" s="43">
        <v>46340</v>
      </c>
      <c r="P5" s="43">
        <v>46341</v>
      </c>
      <c r="Q5" s="43">
        <v>46342</v>
      </c>
      <c r="R5" s="43">
        <v>46343</v>
      </c>
      <c r="S5" s="43">
        <v>46344</v>
      </c>
      <c r="T5" s="43">
        <v>46345</v>
      </c>
      <c r="U5" s="43">
        <v>46346</v>
      </c>
      <c r="V5" s="43">
        <v>46347</v>
      </c>
      <c r="W5" s="43">
        <v>46348</v>
      </c>
      <c r="X5" s="43">
        <v>46349</v>
      </c>
      <c r="Y5" s="43">
        <v>46350</v>
      </c>
      <c r="Z5" s="43">
        <v>46351</v>
      </c>
      <c r="AA5" s="43">
        <v>46352</v>
      </c>
      <c r="AB5" s="43">
        <v>46353</v>
      </c>
      <c r="AC5" s="43">
        <v>46354</v>
      </c>
      <c r="AD5" s="43">
        <v>46355</v>
      </c>
      <c r="AE5" s="43">
        <v>46356</v>
      </c>
      <c r="AF5" s="43"/>
      <c r="AG5" s="211" t="s">
        <v>4</v>
      </c>
      <c r="AH5" s="208" t="s">
        <v>10</v>
      </c>
      <c r="AI5" s="210" t="s">
        <v>6</v>
      </c>
      <c r="AJ5" s="114" t="s">
        <v>7</v>
      </c>
      <c r="AK5" s="6" t="s">
        <v>8</v>
      </c>
      <c r="AL5" s="6" t="s">
        <v>9</v>
      </c>
    </row>
    <row r="6" spans="1:39" ht="17.25" thickTop="1" x14ac:dyDescent="0.3">
      <c r="A6" s="19">
        <v>101</v>
      </c>
      <c r="B6" s="194"/>
      <c r="C6" s="7"/>
      <c r="D6" s="7" t="s">
        <v>13</v>
      </c>
      <c r="E6" s="7"/>
      <c r="F6" s="7"/>
      <c r="G6" s="7"/>
      <c r="H6" s="7" t="s">
        <v>10</v>
      </c>
      <c r="I6" s="7"/>
      <c r="J6" s="36"/>
      <c r="K6" s="36"/>
      <c r="L6" s="36"/>
      <c r="M6" s="36"/>
      <c r="N6" s="7"/>
      <c r="O6" s="36" t="s">
        <v>5</v>
      </c>
      <c r="P6" s="36"/>
      <c r="Q6" s="36"/>
      <c r="R6" s="36"/>
      <c r="S6" s="36"/>
      <c r="T6" s="36"/>
      <c r="U6" s="36"/>
      <c r="V6" s="7" t="s">
        <v>5</v>
      </c>
      <c r="W6" s="7"/>
      <c r="X6" s="7"/>
      <c r="Y6" s="288" t="s">
        <v>136</v>
      </c>
      <c r="Z6" s="289"/>
      <c r="AA6" s="289"/>
      <c r="AB6" s="290"/>
      <c r="AC6" s="7"/>
      <c r="AD6" s="7"/>
      <c r="AE6" s="7" t="s">
        <v>13</v>
      </c>
      <c r="AF6" s="195"/>
      <c r="AG6" s="215">
        <f>COUNTIF(B6:AF6,"청")</f>
        <v>2</v>
      </c>
      <c r="AH6" s="9">
        <f>COUNTIF(B6:AF6,"7D")</f>
        <v>3</v>
      </c>
      <c r="AI6" s="122">
        <v>0</v>
      </c>
      <c r="AJ6" s="115">
        <f>'2026.10.'!AL6</f>
        <v>46328</v>
      </c>
      <c r="AK6" s="12">
        <v>46356</v>
      </c>
      <c r="AL6" s="8">
        <f>IFERROR(AK6+40,"")</f>
        <v>46396</v>
      </c>
      <c r="AM6" s="81"/>
    </row>
    <row r="7" spans="1:39" x14ac:dyDescent="0.3">
      <c r="A7" s="10">
        <v>102</v>
      </c>
      <c r="B7" s="214"/>
      <c r="C7" s="74"/>
      <c r="D7" s="212"/>
      <c r="E7" s="228" t="s">
        <v>5</v>
      </c>
      <c r="F7" s="212"/>
      <c r="G7" s="212"/>
      <c r="H7" s="212"/>
      <c r="I7" s="212"/>
      <c r="J7" s="212"/>
      <c r="K7" s="212"/>
      <c r="L7" s="228" t="s">
        <v>5</v>
      </c>
      <c r="M7" s="212"/>
      <c r="N7" s="212"/>
      <c r="O7" s="212"/>
      <c r="P7" s="212"/>
      <c r="Q7" s="212"/>
      <c r="R7" s="228" t="s">
        <v>5</v>
      </c>
      <c r="S7" s="212"/>
      <c r="T7" s="212" t="s">
        <v>13</v>
      </c>
      <c r="U7" s="212"/>
      <c r="V7" s="212"/>
      <c r="W7" s="35"/>
      <c r="X7" s="35"/>
      <c r="Y7" s="35" t="s">
        <v>5</v>
      </c>
      <c r="Z7" s="35"/>
      <c r="AA7" s="35"/>
      <c r="AB7" s="35"/>
      <c r="AC7" s="35"/>
      <c r="AD7" s="35"/>
      <c r="AE7" s="35"/>
      <c r="AF7" s="150"/>
      <c r="AG7" s="45">
        <f t="shared" ref="AG7:AG28" si="0">COUNTIF(B7:AF7,"청")</f>
        <v>1</v>
      </c>
      <c r="AH7" s="44">
        <f t="shared" ref="AH7:AH28" si="1">COUNTIF(B7:AF7,"7D")</f>
        <v>4</v>
      </c>
      <c r="AI7" s="121">
        <v>0</v>
      </c>
      <c r="AJ7" s="115">
        <f>'2026.10.'!AL7</f>
        <v>46347</v>
      </c>
      <c r="AK7" s="8">
        <f t="shared" ref="AK7:AK28" si="2">IFERROR(INDEX($B$3:$AF$5,1,MATCH("청",B7:AF7,0)),"")</f>
        <v>46345</v>
      </c>
      <c r="AL7" s="8">
        <f t="shared" ref="AL7:AL28" si="3">IFERROR(AK7+40,"")</f>
        <v>46385</v>
      </c>
      <c r="AM7" s="81"/>
    </row>
    <row r="8" spans="1:39" x14ac:dyDescent="0.3">
      <c r="A8" s="10">
        <v>103</v>
      </c>
      <c r="B8" s="120"/>
      <c r="C8" s="35" t="s">
        <v>5</v>
      </c>
      <c r="D8" s="35"/>
      <c r="E8" s="35"/>
      <c r="F8" s="35"/>
      <c r="G8" s="212"/>
      <c r="H8" s="212"/>
      <c r="I8" s="212"/>
      <c r="J8" s="228" t="s">
        <v>5</v>
      </c>
      <c r="K8" s="212"/>
      <c r="L8" s="212"/>
      <c r="M8" s="212"/>
      <c r="N8" s="212"/>
      <c r="O8" s="212"/>
      <c r="P8" s="35"/>
      <c r="Q8" s="35" t="s">
        <v>5</v>
      </c>
      <c r="R8" s="35"/>
      <c r="S8" s="35"/>
      <c r="T8" s="212"/>
      <c r="U8" s="212"/>
      <c r="V8" s="35"/>
      <c r="W8" s="35" t="s">
        <v>5</v>
      </c>
      <c r="X8" s="35"/>
      <c r="Y8" s="35"/>
      <c r="Z8" s="35"/>
      <c r="AA8" s="35"/>
      <c r="AB8" s="212"/>
      <c r="AC8" s="212"/>
      <c r="AD8" s="228" t="s">
        <v>5</v>
      </c>
      <c r="AE8" s="212"/>
      <c r="AF8" s="149"/>
      <c r="AG8" s="211">
        <f t="shared" si="0"/>
        <v>0</v>
      </c>
      <c r="AH8" s="9">
        <f t="shared" si="1"/>
        <v>5</v>
      </c>
      <c r="AI8" s="122">
        <v>0</v>
      </c>
      <c r="AJ8" s="115">
        <f>'2026.10.'!AL8</f>
        <v>46362</v>
      </c>
      <c r="AK8" s="8" t="str">
        <f t="shared" si="2"/>
        <v/>
      </c>
      <c r="AL8" s="8">
        <f>AJ8</f>
        <v>46362</v>
      </c>
      <c r="AM8" s="81"/>
    </row>
    <row r="9" spans="1:39" x14ac:dyDescent="0.3">
      <c r="A9" s="10">
        <v>104</v>
      </c>
      <c r="B9" s="120"/>
      <c r="C9" s="212"/>
      <c r="D9" s="212"/>
      <c r="E9" s="212"/>
      <c r="F9" s="228" t="s">
        <v>5</v>
      </c>
      <c r="G9" s="212"/>
      <c r="H9" s="212"/>
      <c r="I9" s="212"/>
      <c r="J9" s="212" t="s">
        <v>13</v>
      </c>
      <c r="K9" s="212"/>
      <c r="L9" s="212"/>
      <c r="M9" s="228" t="s">
        <v>5</v>
      </c>
      <c r="N9" s="35"/>
      <c r="O9" s="35"/>
      <c r="P9" s="35"/>
      <c r="Q9" s="35"/>
      <c r="R9" s="35"/>
      <c r="S9" s="35"/>
      <c r="T9" s="228" t="s">
        <v>5</v>
      </c>
      <c r="U9" s="35"/>
      <c r="V9" s="35"/>
      <c r="W9" s="35"/>
      <c r="X9" s="35"/>
      <c r="Y9" s="212"/>
      <c r="Z9" s="212"/>
      <c r="AA9" s="228" t="s">
        <v>5</v>
      </c>
      <c r="AB9" s="212"/>
      <c r="AC9" s="212"/>
      <c r="AD9" s="212"/>
      <c r="AE9" s="212"/>
      <c r="AF9" s="149"/>
      <c r="AG9" s="211">
        <f t="shared" si="0"/>
        <v>1</v>
      </c>
      <c r="AH9" s="9">
        <f t="shared" si="1"/>
        <v>4</v>
      </c>
      <c r="AI9" s="122">
        <v>0</v>
      </c>
      <c r="AJ9" s="115">
        <f>'2026.10.'!AL9</f>
        <v>46334</v>
      </c>
      <c r="AK9" s="8">
        <f t="shared" si="2"/>
        <v>46335</v>
      </c>
      <c r="AL9" s="8">
        <f t="shared" si="3"/>
        <v>46375</v>
      </c>
    </row>
    <row r="10" spans="1:39" x14ac:dyDescent="0.3">
      <c r="A10" s="10">
        <v>105</v>
      </c>
      <c r="B10" s="120"/>
      <c r="C10" s="228" t="s">
        <v>5</v>
      </c>
      <c r="D10" s="35"/>
      <c r="E10" s="35"/>
      <c r="F10" s="35"/>
      <c r="G10" s="35"/>
      <c r="H10" s="35"/>
      <c r="I10" s="35"/>
      <c r="J10" s="228" t="s">
        <v>5</v>
      </c>
      <c r="K10" s="212"/>
      <c r="L10" s="212"/>
      <c r="M10" s="212"/>
      <c r="N10" s="212"/>
      <c r="O10" s="212"/>
      <c r="P10" s="212"/>
      <c r="Q10" s="228" t="s">
        <v>5</v>
      </c>
      <c r="R10" s="212"/>
      <c r="S10" s="212"/>
      <c r="T10" s="212"/>
      <c r="U10" s="212"/>
      <c r="V10" s="212"/>
      <c r="W10" s="212"/>
      <c r="X10" s="228" t="s">
        <v>5</v>
      </c>
      <c r="Y10" s="212"/>
      <c r="Z10" s="212" t="s">
        <v>13</v>
      </c>
      <c r="AA10" s="212"/>
      <c r="AB10" s="212"/>
      <c r="AC10" s="35"/>
      <c r="AD10" s="35"/>
      <c r="AE10" s="35" t="s">
        <v>5</v>
      </c>
      <c r="AF10" s="149"/>
      <c r="AG10" s="211">
        <f t="shared" si="0"/>
        <v>1</v>
      </c>
      <c r="AH10" s="9">
        <f t="shared" si="1"/>
        <v>5</v>
      </c>
      <c r="AI10" s="122">
        <v>0</v>
      </c>
      <c r="AJ10" s="115">
        <f>'2026.10.'!AL10</f>
        <v>46354</v>
      </c>
      <c r="AK10" s="8">
        <f t="shared" si="2"/>
        <v>46351</v>
      </c>
      <c r="AL10" s="8">
        <f t="shared" si="3"/>
        <v>46391</v>
      </c>
      <c r="AM10" s="80"/>
    </row>
    <row r="11" spans="1:39" x14ac:dyDescent="0.3">
      <c r="A11" s="10">
        <v>106</v>
      </c>
      <c r="B11" s="137"/>
      <c r="C11" s="35" t="s">
        <v>13</v>
      </c>
      <c r="D11" s="35"/>
      <c r="E11" s="35"/>
      <c r="F11" s="35"/>
      <c r="G11" s="35" t="s">
        <v>5</v>
      </c>
      <c r="H11" s="35"/>
      <c r="I11" s="35"/>
      <c r="J11" s="35"/>
      <c r="K11" s="35"/>
      <c r="L11" s="35"/>
      <c r="M11" s="212"/>
      <c r="N11" s="212"/>
      <c r="O11" s="228" t="s">
        <v>5</v>
      </c>
      <c r="P11" s="212"/>
      <c r="Q11" s="212"/>
      <c r="R11" s="212"/>
      <c r="S11" s="212"/>
      <c r="T11" s="212"/>
      <c r="U11" s="212"/>
      <c r="V11" s="228" t="s">
        <v>5</v>
      </c>
      <c r="W11" s="35"/>
      <c r="X11" s="35"/>
      <c r="Y11" s="35"/>
      <c r="Z11" s="35"/>
      <c r="AA11" s="212"/>
      <c r="AB11" s="35"/>
      <c r="AC11" s="35" t="s">
        <v>5</v>
      </c>
      <c r="AD11" s="35"/>
      <c r="AE11" s="35"/>
      <c r="AF11" s="149"/>
      <c r="AG11" s="211">
        <f t="shared" si="0"/>
        <v>1</v>
      </c>
      <c r="AH11" s="9">
        <f t="shared" si="1"/>
        <v>4</v>
      </c>
      <c r="AI11" s="122">
        <v>0</v>
      </c>
      <c r="AJ11" s="115">
        <f>'2026.10.'!AL11</f>
        <v>46343</v>
      </c>
      <c r="AK11" s="8">
        <f t="shared" si="2"/>
        <v>46328</v>
      </c>
      <c r="AL11" s="8">
        <f t="shared" si="3"/>
        <v>46368</v>
      </c>
      <c r="AM11" s="80" t="s">
        <v>173</v>
      </c>
    </row>
    <row r="12" spans="1:39" x14ac:dyDescent="0.3">
      <c r="A12" s="10">
        <v>107</v>
      </c>
      <c r="B12" s="137"/>
      <c r="C12" s="35"/>
      <c r="D12" s="35"/>
      <c r="E12" s="35" t="s">
        <v>5</v>
      </c>
      <c r="F12" s="212"/>
      <c r="G12" s="212"/>
      <c r="H12" s="212"/>
      <c r="I12" s="212"/>
      <c r="J12" s="212"/>
      <c r="K12" s="35"/>
      <c r="L12" s="35" t="s">
        <v>5</v>
      </c>
      <c r="M12" s="35"/>
      <c r="N12" s="35"/>
      <c r="O12" s="35"/>
      <c r="P12" s="35"/>
      <c r="Q12" s="35"/>
      <c r="R12" s="35" t="s">
        <v>13</v>
      </c>
      <c r="S12" s="35" t="s">
        <v>5</v>
      </c>
      <c r="T12" s="35"/>
      <c r="U12" s="35"/>
      <c r="V12" s="35"/>
      <c r="W12" s="35"/>
      <c r="X12" s="35"/>
      <c r="Y12" s="35"/>
      <c r="Z12" s="35" t="s">
        <v>5</v>
      </c>
      <c r="AA12" s="35"/>
      <c r="AB12" s="35"/>
      <c r="AC12" s="35"/>
      <c r="AD12" s="212"/>
      <c r="AE12" s="74"/>
      <c r="AF12" s="196"/>
      <c r="AG12" s="211">
        <f t="shared" si="0"/>
        <v>1</v>
      </c>
      <c r="AH12" s="9">
        <f t="shared" si="1"/>
        <v>4</v>
      </c>
      <c r="AI12" s="122">
        <v>0</v>
      </c>
      <c r="AJ12" s="115">
        <f>'2026.10.'!AL12</f>
        <v>46348</v>
      </c>
      <c r="AK12" s="8">
        <f t="shared" si="2"/>
        <v>46343</v>
      </c>
      <c r="AL12" s="8">
        <f t="shared" si="3"/>
        <v>46383</v>
      </c>
      <c r="AM12" s="81"/>
    </row>
    <row r="13" spans="1:39" x14ac:dyDescent="0.3">
      <c r="A13" s="10">
        <v>108</v>
      </c>
      <c r="B13" s="137"/>
      <c r="C13" s="35"/>
      <c r="D13" s="35" t="s">
        <v>5</v>
      </c>
      <c r="E13" s="35"/>
      <c r="F13" s="35"/>
      <c r="G13" s="35"/>
      <c r="H13" s="212"/>
      <c r="I13" s="212"/>
      <c r="J13" s="212"/>
      <c r="K13" s="228" t="s">
        <v>5</v>
      </c>
      <c r="L13" s="212"/>
      <c r="M13" s="212"/>
      <c r="N13" s="212" t="s">
        <v>13</v>
      </c>
      <c r="O13" s="212"/>
      <c r="P13" s="212"/>
      <c r="Q13" s="212"/>
      <c r="R13" s="228" t="s">
        <v>5</v>
      </c>
      <c r="S13" s="212"/>
      <c r="T13" s="212"/>
      <c r="U13" s="212"/>
      <c r="V13" s="212"/>
      <c r="W13" s="212"/>
      <c r="X13" s="228" t="s">
        <v>5</v>
      </c>
      <c r="Y13" s="212"/>
      <c r="Z13" s="212"/>
      <c r="AA13" s="212"/>
      <c r="AB13" s="212"/>
      <c r="AC13" s="212"/>
      <c r="AD13" s="212"/>
      <c r="AE13" s="228" t="s">
        <v>5</v>
      </c>
      <c r="AF13" s="149"/>
      <c r="AG13" s="211">
        <f t="shared" si="0"/>
        <v>1</v>
      </c>
      <c r="AH13" s="9">
        <f t="shared" si="1"/>
        <v>5</v>
      </c>
      <c r="AI13" s="122">
        <v>0</v>
      </c>
      <c r="AJ13" s="115">
        <f>'2026.10.'!AL13</f>
        <v>46342</v>
      </c>
      <c r="AK13" s="8">
        <f t="shared" si="2"/>
        <v>46339</v>
      </c>
      <c r="AL13" s="8">
        <f t="shared" si="3"/>
        <v>46379</v>
      </c>
      <c r="AM13" s="80"/>
    </row>
    <row r="14" spans="1:39" x14ac:dyDescent="0.3">
      <c r="A14" s="10">
        <v>109</v>
      </c>
      <c r="B14" s="120"/>
      <c r="C14" s="253" t="s">
        <v>95</v>
      </c>
      <c r="D14" s="254"/>
      <c r="E14" s="254"/>
      <c r="F14" s="249"/>
      <c r="G14" s="212" t="s">
        <v>13</v>
      </c>
      <c r="H14" s="212"/>
      <c r="I14" s="212"/>
      <c r="J14" s="212"/>
      <c r="K14" s="212"/>
      <c r="L14" s="212"/>
      <c r="M14" s="35"/>
      <c r="N14" s="35" t="s">
        <v>5</v>
      </c>
      <c r="O14" s="35"/>
      <c r="P14" s="35"/>
      <c r="Q14" s="35"/>
      <c r="R14" s="35"/>
      <c r="S14" s="35"/>
      <c r="T14" s="35"/>
      <c r="U14" s="35" t="s">
        <v>5</v>
      </c>
      <c r="V14" s="212"/>
      <c r="W14" s="212"/>
      <c r="X14" s="212"/>
      <c r="Y14" s="212"/>
      <c r="Z14" s="212"/>
      <c r="AA14" s="35"/>
      <c r="AB14" s="35" t="s">
        <v>5</v>
      </c>
      <c r="AC14" s="35"/>
      <c r="AD14" s="35"/>
      <c r="AE14" s="35"/>
      <c r="AF14" s="149"/>
      <c r="AG14" s="211">
        <f t="shared" si="0"/>
        <v>1</v>
      </c>
      <c r="AH14" s="9">
        <f t="shared" si="1"/>
        <v>3</v>
      </c>
      <c r="AI14" s="122">
        <v>0</v>
      </c>
      <c r="AJ14" s="115">
        <f>'2026.10.'!AL14</f>
        <v>46350</v>
      </c>
      <c r="AK14" s="8">
        <f t="shared" si="2"/>
        <v>46332</v>
      </c>
      <c r="AL14" s="8">
        <f t="shared" si="3"/>
        <v>46372</v>
      </c>
    </row>
    <row r="15" spans="1:39" x14ac:dyDescent="0.3">
      <c r="A15" s="10">
        <v>110</v>
      </c>
      <c r="B15" s="137"/>
      <c r="C15" s="35"/>
      <c r="D15" s="35"/>
      <c r="E15" s="35" t="s">
        <v>13</v>
      </c>
      <c r="F15" s="212"/>
      <c r="G15" s="212"/>
      <c r="H15" s="228" t="s">
        <v>5</v>
      </c>
      <c r="I15" s="212"/>
      <c r="J15" s="212"/>
      <c r="K15" s="35"/>
      <c r="L15" s="35"/>
      <c r="M15" s="35"/>
      <c r="N15" s="35"/>
      <c r="O15" s="35" t="s">
        <v>5</v>
      </c>
      <c r="P15" s="35"/>
      <c r="Q15" s="212"/>
      <c r="R15" s="212"/>
      <c r="S15" s="35"/>
      <c r="T15" s="35"/>
      <c r="U15" s="35"/>
      <c r="V15" s="35" t="s">
        <v>5</v>
      </c>
      <c r="W15" s="212"/>
      <c r="X15" s="212"/>
      <c r="Y15" s="212"/>
      <c r="Z15" s="212"/>
      <c r="AA15" s="212"/>
      <c r="AB15" s="212"/>
      <c r="AC15" s="228" t="s">
        <v>5</v>
      </c>
      <c r="AD15" s="212"/>
      <c r="AE15" s="212"/>
      <c r="AF15" s="149"/>
      <c r="AG15" s="211">
        <f t="shared" si="0"/>
        <v>1</v>
      </c>
      <c r="AH15" s="9">
        <f t="shared" si="1"/>
        <v>4</v>
      </c>
      <c r="AI15" s="122">
        <v>0</v>
      </c>
      <c r="AJ15" s="115">
        <f>'2026.10.'!AL15</f>
        <v>46333</v>
      </c>
      <c r="AK15" s="8">
        <f t="shared" si="2"/>
        <v>46330</v>
      </c>
      <c r="AL15" s="8">
        <f t="shared" si="3"/>
        <v>46370</v>
      </c>
    </row>
    <row r="16" spans="1:39" x14ac:dyDescent="0.3">
      <c r="A16" s="10">
        <v>111</v>
      </c>
      <c r="B16" s="120"/>
      <c r="C16" s="212"/>
      <c r="D16" s="212"/>
      <c r="E16" s="212"/>
      <c r="F16" s="228" t="s">
        <v>5</v>
      </c>
      <c r="G16" s="212"/>
      <c r="H16" s="212"/>
      <c r="I16" s="212"/>
      <c r="J16" s="212"/>
      <c r="K16" s="212"/>
      <c r="L16" s="212"/>
      <c r="M16" s="228" t="s">
        <v>5</v>
      </c>
      <c r="N16" s="212"/>
      <c r="O16" s="212"/>
      <c r="P16" s="35"/>
      <c r="Q16" s="35"/>
      <c r="R16" s="35"/>
      <c r="S16" s="35"/>
      <c r="T16" s="228" t="s">
        <v>5</v>
      </c>
      <c r="U16" s="212"/>
      <c r="V16" s="35"/>
      <c r="W16" s="35"/>
      <c r="X16" s="35"/>
      <c r="Y16" s="35"/>
      <c r="Z16" s="35"/>
      <c r="AA16" s="35" t="s">
        <v>5</v>
      </c>
      <c r="AB16" s="212"/>
      <c r="AC16" s="212"/>
      <c r="AD16" s="212"/>
      <c r="AE16" s="212"/>
      <c r="AF16" s="149"/>
      <c r="AG16" s="211">
        <f t="shared" si="0"/>
        <v>0</v>
      </c>
      <c r="AH16" s="9">
        <f t="shared" si="1"/>
        <v>4</v>
      </c>
      <c r="AI16" s="122">
        <v>0</v>
      </c>
      <c r="AJ16" s="115">
        <f>'2026.10.'!AL16</f>
        <v>46365</v>
      </c>
      <c r="AK16" s="8" t="str">
        <f t="shared" si="2"/>
        <v/>
      </c>
      <c r="AL16" s="8">
        <f>AJ16</f>
        <v>46365</v>
      </c>
    </row>
    <row r="17" spans="1:39" x14ac:dyDescent="0.3">
      <c r="A17" s="10">
        <v>112</v>
      </c>
      <c r="B17" s="120"/>
      <c r="C17" s="35"/>
      <c r="D17" s="35" t="s">
        <v>5</v>
      </c>
      <c r="E17" s="35"/>
      <c r="F17" s="35"/>
      <c r="G17" s="35"/>
      <c r="H17" s="35"/>
      <c r="I17" s="212"/>
      <c r="J17" s="212"/>
      <c r="K17" s="228" t="s">
        <v>5</v>
      </c>
      <c r="L17" s="212"/>
      <c r="M17" s="212"/>
      <c r="N17" s="212"/>
      <c r="O17" s="212"/>
      <c r="P17" s="212"/>
      <c r="Q17" s="212"/>
      <c r="R17" s="212"/>
      <c r="S17" s="253" t="s">
        <v>98</v>
      </c>
      <c r="T17" s="254"/>
      <c r="U17" s="254"/>
      <c r="V17" s="254"/>
      <c r="W17" s="254"/>
      <c r="X17" s="249"/>
      <c r="Y17" s="35" t="s">
        <v>13</v>
      </c>
      <c r="Z17" s="35"/>
      <c r="AA17" s="35"/>
      <c r="AB17" s="212"/>
      <c r="AC17" s="212"/>
      <c r="AD17" s="212"/>
      <c r="AE17" s="228" t="s">
        <v>5</v>
      </c>
      <c r="AF17" s="149"/>
      <c r="AG17" s="211">
        <f t="shared" si="0"/>
        <v>1</v>
      </c>
      <c r="AH17" s="9">
        <f t="shared" si="1"/>
        <v>3</v>
      </c>
      <c r="AI17" s="122">
        <v>0</v>
      </c>
      <c r="AJ17" s="115">
        <f>'2026.10.'!AL17</f>
        <v>46355</v>
      </c>
      <c r="AK17" s="8">
        <f t="shared" si="2"/>
        <v>46350</v>
      </c>
      <c r="AL17" s="8">
        <f t="shared" si="3"/>
        <v>46390</v>
      </c>
      <c r="AM17" s="81"/>
    </row>
    <row r="18" spans="1:39" x14ac:dyDescent="0.3">
      <c r="A18" s="10">
        <v>113</v>
      </c>
      <c r="B18" s="120"/>
      <c r="C18" s="212"/>
      <c r="D18" s="212"/>
      <c r="E18" s="212"/>
      <c r="F18" s="35"/>
      <c r="G18" s="35" t="s">
        <v>5</v>
      </c>
      <c r="H18" s="35"/>
      <c r="I18" s="35"/>
      <c r="J18" s="35"/>
      <c r="K18" s="35"/>
      <c r="L18" s="35"/>
      <c r="M18" s="35"/>
      <c r="N18" s="35" t="s">
        <v>5</v>
      </c>
      <c r="O18" s="35"/>
      <c r="P18" s="212"/>
      <c r="Q18" s="212"/>
      <c r="R18" s="212"/>
      <c r="S18" s="212"/>
      <c r="T18" s="212"/>
      <c r="U18" s="228" t="s">
        <v>5</v>
      </c>
      <c r="V18" s="212"/>
      <c r="W18" s="212"/>
      <c r="X18" s="212"/>
      <c r="Y18" s="212"/>
      <c r="Z18" s="212"/>
      <c r="AA18" s="212"/>
      <c r="AB18" s="228" t="s">
        <v>5</v>
      </c>
      <c r="AC18" s="212"/>
      <c r="AD18" s="212"/>
      <c r="AE18" s="212"/>
      <c r="AF18" s="149"/>
      <c r="AG18" s="211">
        <f t="shared" si="0"/>
        <v>0</v>
      </c>
      <c r="AH18" s="9">
        <f t="shared" si="1"/>
        <v>4</v>
      </c>
      <c r="AI18" s="122">
        <v>0</v>
      </c>
      <c r="AJ18" s="115">
        <f>'2026.10.'!AL18</f>
        <v>46364</v>
      </c>
      <c r="AK18" s="8" t="str">
        <f t="shared" si="2"/>
        <v/>
      </c>
      <c r="AL18" s="8">
        <f>AJ18</f>
        <v>46364</v>
      </c>
    </row>
    <row r="19" spans="1:39" x14ac:dyDescent="0.3">
      <c r="A19" s="10">
        <v>114</v>
      </c>
      <c r="B19" s="140"/>
      <c r="C19" s="138"/>
      <c r="D19" s="138"/>
      <c r="E19" s="138" t="s">
        <v>5</v>
      </c>
      <c r="F19" s="212"/>
      <c r="G19" s="212"/>
      <c r="H19" s="35"/>
      <c r="I19" s="35"/>
      <c r="J19" s="35"/>
      <c r="K19" s="35"/>
      <c r="L19" s="35" t="s">
        <v>5</v>
      </c>
      <c r="M19" s="35"/>
      <c r="N19" s="35"/>
      <c r="O19" s="212"/>
      <c r="P19" s="212"/>
      <c r="Q19" s="212"/>
      <c r="R19" s="212"/>
      <c r="S19" s="228" t="s">
        <v>5</v>
      </c>
      <c r="T19" s="212"/>
      <c r="U19" s="212" t="s">
        <v>13</v>
      </c>
      <c r="V19" s="212"/>
      <c r="W19" s="212"/>
      <c r="X19" s="212"/>
      <c r="Y19" s="212"/>
      <c r="Z19" s="228" t="s">
        <v>5</v>
      </c>
      <c r="AA19" s="212"/>
      <c r="AB19" s="212"/>
      <c r="AC19" s="212"/>
      <c r="AD19" s="35"/>
      <c r="AE19" s="35"/>
      <c r="AF19" s="150"/>
      <c r="AG19" s="211">
        <f t="shared" si="0"/>
        <v>1</v>
      </c>
      <c r="AH19" s="9">
        <f t="shared" si="1"/>
        <v>4</v>
      </c>
      <c r="AI19" s="122">
        <v>0</v>
      </c>
      <c r="AJ19" s="115">
        <f>'2026.10.'!AL19</f>
        <v>46349</v>
      </c>
      <c r="AK19" s="8">
        <f t="shared" si="2"/>
        <v>46346</v>
      </c>
      <c r="AL19" s="8">
        <f t="shared" si="3"/>
        <v>46386</v>
      </c>
      <c r="AM19" s="81"/>
    </row>
    <row r="20" spans="1:39" x14ac:dyDescent="0.3">
      <c r="A20" s="10">
        <v>115</v>
      </c>
      <c r="B20" s="137" t="s">
        <v>5</v>
      </c>
      <c r="C20" s="35"/>
      <c r="D20" s="35"/>
      <c r="E20" s="35"/>
      <c r="F20" s="35"/>
      <c r="G20" s="35"/>
      <c r="H20" s="35"/>
      <c r="I20" s="35" t="s">
        <v>5</v>
      </c>
      <c r="J20" s="35"/>
      <c r="K20" s="35"/>
      <c r="L20" s="35"/>
      <c r="M20" s="35"/>
      <c r="N20" s="35"/>
      <c r="O20" s="35"/>
      <c r="P20" s="35" t="s">
        <v>5</v>
      </c>
      <c r="Q20" s="35"/>
      <c r="R20" s="35"/>
      <c r="S20" s="35"/>
      <c r="T20" s="35"/>
      <c r="U20" s="35"/>
      <c r="V20" s="35"/>
      <c r="W20" s="35" t="s">
        <v>5</v>
      </c>
      <c r="X20" s="35"/>
      <c r="Y20" s="35"/>
      <c r="Z20" s="35"/>
      <c r="AA20" s="35" t="s">
        <v>13</v>
      </c>
      <c r="AB20" s="35"/>
      <c r="AC20" s="35"/>
      <c r="AD20" s="35" t="s">
        <v>5</v>
      </c>
      <c r="AE20" s="35"/>
      <c r="AF20" s="149"/>
      <c r="AG20" s="211">
        <f t="shared" si="0"/>
        <v>1</v>
      </c>
      <c r="AH20" s="9">
        <f t="shared" si="1"/>
        <v>5</v>
      </c>
      <c r="AI20" s="122">
        <v>0</v>
      </c>
      <c r="AJ20" s="115">
        <f>'2026.10.'!AL20</f>
        <v>46357</v>
      </c>
      <c r="AK20" s="8">
        <f t="shared" si="2"/>
        <v>46352</v>
      </c>
      <c r="AL20" s="8">
        <f t="shared" si="3"/>
        <v>46392</v>
      </c>
    </row>
    <row r="21" spans="1:39" x14ac:dyDescent="0.3">
      <c r="A21" s="10">
        <v>116</v>
      </c>
      <c r="B21" s="120"/>
      <c r="C21" s="35" t="s">
        <v>5</v>
      </c>
      <c r="D21" s="35"/>
      <c r="E21" s="35"/>
      <c r="F21" s="35" t="s">
        <v>13</v>
      </c>
      <c r="G21" s="35"/>
      <c r="H21" s="35"/>
      <c r="I21" s="35"/>
      <c r="J21" s="35" t="s">
        <v>5</v>
      </c>
      <c r="K21" s="35"/>
      <c r="L21" s="35"/>
      <c r="M21" s="35"/>
      <c r="N21" s="35"/>
      <c r="O21" s="35"/>
      <c r="P21" s="35"/>
      <c r="Q21" s="35" t="s">
        <v>5</v>
      </c>
      <c r="R21" s="35"/>
      <c r="S21" s="35"/>
      <c r="T21" s="35"/>
      <c r="U21" s="35"/>
      <c r="V21" s="35"/>
      <c r="W21" s="35"/>
      <c r="X21" s="35" t="s">
        <v>5</v>
      </c>
      <c r="Y21" s="35"/>
      <c r="Z21" s="35"/>
      <c r="AA21" s="35"/>
      <c r="AB21" s="35"/>
      <c r="AC21" s="35"/>
      <c r="AD21" s="35" t="s">
        <v>5</v>
      </c>
      <c r="AE21" s="35"/>
      <c r="AF21" s="149"/>
      <c r="AG21" s="211">
        <f t="shared" si="0"/>
        <v>1</v>
      </c>
      <c r="AH21" s="9">
        <f t="shared" si="1"/>
        <v>5</v>
      </c>
      <c r="AI21" s="122">
        <v>0</v>
      </c>
      <c r="AJ21" s="115">
        <f>'2026.10.'!AL21</f>
        <v>46335</v>
      </c>
      <c r="AK21" s="8">
        <f t="shared" si="2"/>
        <v>46331</v>
      </c>
      <c r="AL21" s="8">
        <f t="shared" si="3"/>
        <v>46371</v>
      </c>
    </row>
    <row r="22" spans="1:39" x14ac:dyDescent="0.3">
      <c r="A22" s="10">
        <v>117</v>
      </c>
      <c r="B22" s="137" t="s">
        <v>5</v>
      </c>
      <c r="C22" s="35"/>
      <c r="D22" s="35"/>
      <c r="E22" s="35"/>
      <c r="F22" s="35"/>
      <c r="G22" s="35"/>
      <c r="H22" s="35"/>
      <c r="I22" s="35" t="s">
        <v>5</v>
      </c>
      <c r="J22" s="35"/>
      <c r="K22" s="35"/>
      <c r="L22" s="35"/>
      <c r="M22" s="253" t="s">
        <v>175</v>
      </c>
      <c r="N22" s="254"/>
      <c r="O22" s="254"/>
      <c r="P22" s="254"/>
      <c r="Q22" s="254"/>
      <c r="R22" s="249"/>
      <c r="S22" s="35" t="s">
        <v>13</v>
      </c>
      <c r="T22" s="35"/>
      <c r="U22" s="35"/>
      <c r="V22" s="35"/>
      <c r="W22" s="35"/>
      <c r="X22" s="35"/>
      <c r="Y22" s="35" t="s">
        <v>5</v>
      </c>
      <c r="Z22" s="35"/>
      <c r="AA22" s="35"/>
      <c r="AB22" s="35"/>
      <c r="AC22" s="35"/>
      <c r="AD22" s="35"/>
      <c r="AE22" s="35"/>
      <c r="AF22" s="149"/>
      <c r="AG22" s="211">
        <f t="shared" si="0"/>
        <v>1</v>
      </c>
      <c r="AH22" s="9">
        <f t="shared" si="1"/>
        <v>3</v>
      </c>
      <c r="AI22" s="122">
        <v>0</v>
      </c>
      <c r="AJ22" s="115">
        <f>'2026.10.'!AL22</f>
        <v>46363</v>
      </c>
      <c r="AK22" s="8">
        <f t="shared" si="2"/>
        <v>46344</v>
      </c>
      <c r="AL22" s="8">
        <f t="shared" si="3"/>
        <v>46384</v>
      </c>
      <c r="AM22" s="81"/>
    </row>
    <row r="23" spans="1:39" x14ac:dyDescent="0.3">
      <c r="A23" s="10">
        <v>118</v>
      </c>
      <c r="B23" s="137"/>
      <c r="C23" s="35"/>
      <c r="D23" s="35"/>
      <c r="E23" s="35"/>
      <c r="F23" s="35"/>
      <c r="G23" s="35"/>
      <c r="H23" s="35" t="s">
        <v>5</v>
      </c>
      <c r="I23" s="35"/>
      <c r="J23" s="35"/>
      <c r="K23" s="35"/>
      <c r="L23" s="35" t="s">
        <v>13</v>
      </c>
      <c r="M23" s="35"/>
      <c r="N23" s="35"/>
      <c r="O23" s="35"/>
      <c r="P23" s="35" t="s">
        <v>5</v>
      </c>
      <c r="Q23" s="35"/>
      <c r="R23" s="35"/>
      <c r="S23" s="35"/>
      <c r="T23" s="35"/>
      <c r="U23" s="35"/>
      <c r="V23" s="35"/>
      <c r="W23" s="35" t="s">
        <v>5</v>
      </c>
      <c r="X23" s="35"/>
      <c r="Y23" s="35"/>
      <c r="Z23" s="35"/>
      <c r="AA23" s="35"/>
      <c r="AB23" s="35"/>
      <c r="AC23" s="35" t="s">
        <v>5</v>
      </c>
      <c r="AD23" s="212"/>
      <c r="AE23" s="212"/>
      <c r="AF23" s="149"/>
      <c r="AG23" s="211">
        <f t="shared" si="0"/>
        <v>1</v>
      </c>
      <c r="AH23" s="9">
        <f t="shared" si="1"/>
        <v>4</v>
      </c>
      <c r="AI23" s="122">
        <v>0</v>
      </c>
      <c r="AJ23" s="115">
        <f>'2026.10.'!AL23</f>
        <v>46341</v>
      </c>
      <c r="AK23" s="8">
        <f t="shared" si="2"/>
        <v>46337</v>
      </c>
      <c r="AL23" s="8">
        <f t="shared" si="3"/>
        <v>46377</v>
      </c>
      <c r="AM23" s="80"/>
    </row>
    <row r="24" spans="1:39" x14ac:dyDescent="0.3">
      <c r="A24" s="10">
        <v>119</v>
      </c>
      <c r="B24" s="137"/>
      <c r="C24" s="35"/>
      <c r="D24" s="35"/>
      <c r="E24" s="35"/>
      <c r="F24" s="35" t="s">
        <v>5</v>
      </c>
      <c r="G24" s="35"/>
      <c r="H24" s="35"/>
      <c r="I24" s="35"/>
      <c r="J24" s="35"/>
      <c r="K24" s="35"/>
      <c r="L24" s="35"/>
      <c r="M24" s="35" t="s">
        <v>5</v>
      </c>
      <c r="N24" s="35"/>
      <c r="O24" s="35"/>
      <c r="P24" s="35"/>
      <c r="Q24" s="35"/>
      <c r="R24" s="35"/>
      <c r="S24" s="35"/>
      <c r="T24" s="35" t="s">
        <v>5</v>
      </c>
      <c r="U24" s="35"/>
      <c r="V24" s="35"/>
      <c r="W24" s="35"/>
      <c r="X24" s="35"/>
      <c r="Y24" s="35"/>
      <c r="Z24" s="35"/>
      <c r="AA24" s="35" t="s">
        <v>5</v>
      </c>
      <c r="AB24" s="35" t="s">
        <v>13</v>
      </c>
      <c r="AC24" s="35"/>
      <c r="AD24" s="35"/>
      <c r="AE24" s="35"/>
      <c r="AF24" s="150"/>
      <c r="AG24" s="211">
        <f t="shared" si="0"/>
        <v>1</v>
      </c>
      <c r="AH24" s="9">
        <f t="shared" si="1"/>
        <v>4</v>
      </c>
      <c r="AI24" s="122">
        <v>0</v>
      </c>
      <c r="AJ24" s="115">
        <f>'2026.10.'!AL24</f>
        <v>46361</v>
      </c>
      <c r="AK24" s="8">
        <f t="shared" si="2"/>
        <v>46353</v>
      </c>
      <c r="AL24" s="8">
        <f t="shared" si="3"/>
        <v>46393</v>
      </c>
      <c r="AM24" s="80"/>
    </row>
    <row r="25" spans="1:39" x14ac:dyDescent="0.3">
      <c r="A25" s="10">
        <v>120</v>
      </c>
      <c r="B25" s="291" t="s">
        <v>194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  <c r="Q25" s="251"/>
      <c r="R25" s="251"/>
      <c r="S25" s="251"/>
      <c r="T25" s="251"/>
      <c r="U25" s="251"/>
      <c r="V25" s="251"/>
      <c r="W25" s="251"/>
      <c r="X25" s="251"/>
      <c r="Y25" s="251"/>
      <c r="Z25" s="251"/>
      <c r="AA25" s="251"/>
      <c r="AB25" s="251"/>
      <c r="AC25" s="251"/>
      <c r="AD25" s="251"/>
      <c r="AE25" s="284"/>
      <c r="AF25" s="216"/>
      <c r="AG25" s="211">
        <f t="shared" si="0"/>
        <v>0</v>
      </c>
      <c r="AH25" s="9">
        <f t="shared" si="1"/>
        <v>0</v>
      </c>
      <c r="AI25" s="122">
        <v>0</v>
      </c>
      <c r="AJ25" s="115">
        <f>'2026.10.'!AL25</f>
        <v>46321</v>
      </c>
      <c r="AK25" s="8" t="str">
        <f t="shared" si="2"/>
        <v/>
      </c>
      <c r="AL25" s="8">
        <f>AJ25</f>
        <v>46321</v>
      </c>
      <c r="AM25" s="81"/>
    </row>
    <row r="26" spans="1:39" x14ac:dyDescent="0.3">
      <c r="A26" s="10">
        <v>121</v>
      </c>
      <c r="B26" s="120" t="s">
        <v>5</v>
      </c>
      <c r="C26" s="212"/>
      <c r="D26" s="35"/>
      <c r="E26" s="35"/>
      <c r="F26" s="35"/>
      <c r="G26" s="253" t="s">
        <v>93</v>
      </c>
      <c r="H26" s="254"/>
      <c r="I26" s="254"/>
      <c r="J26" s="254"/>
      <c r="K26" s="254"/>
      <c r="L26" s="249"/>
      <c r="M26" s="35" t="s">
        <v>13</v>
      </c>
      <c r="N26" s="35"/>
      <c r="O26" s="35"/>
      <c r="P26" s="212"/>
      <c r="Q26" s="212"/>
      <c r="R26" s="212"/>
      <c r="S26" s="228" t="s">
        <v>5</v>
      </c>
      <c r="T26" s="212"/>
      <c r="U26" s="212"/>
      <c r="V26" s="212"/>
      <c r="W26" s="212"/>
      <c r="X26" s="212"/>
      <c r="Y26" s="212"/>
      <c r="Z26" s="228" t="s">
        <v>5</v>
      </c>
      <c r="AA26" s="212"/>
      <c r="AB26" s="212"/>
      <c r="AC26" s="212"/>
      <c r="AD26" s="212"/>
      <c r="AE26" s="212"/>
      <c r="AF26" s="149"/>
      <c r="AG26" s="211">
        <f t="shared" si="0"/>
        <v>1</v>
      </c>
      <c r="AH26" s="9">
        <f t="shared" si="1"/>
        <v>3</v>
      </c>
      <c r="AI26" s="122">
        <v>0</v>
      </c>
      <c r="AJ26" s="115">
        <f>'2026.10.'!AL26</f>
        <v>46358</v>
      </c>
      <c r="AK26" s="8">
        <f t="shared" si="2"/>
        <v>46338</v>
      </c>
      <c r="AL26" s="8">
        <f t="shared" si="3"/>
        <v>46378</v>
      </c>
    </row>
    <row r="27" spans="1:39" x14ac:dyDescent="0.3">
      <c r="A27" s="10">
        <v>122</v>
      </c>
      <c r="B27" s="120"/>
      <c r="C27" s="212"/>
      <c r="D27" s="212"/>
      <c r="E27" s="212"/>
      <c r="F27" s="212"/>
      <c r="G27" s="228" t="s">
        <v>5</v>
      </c>
      <c r="H27" s="212"/>
      <c r="I27" s="212"/>
      <c r="J27" s="212"/>
      <c r="K27" s="212" t="s">
        <v>13</v>
      </c>
      <c r="L27" s="212"/>
      <c r="M27" s="212"/>
      <c r="N27" s="228" t="s">
        <v>5</v>
      </c>
      <c r="O27" s="212"/>
      <c r="P27" s="212"/>
      <c r="Q27" s="35"/>
      <c r="R27" s="35"/>
      <c r="S27" s="35"/>
      <c r="T27" s="35"/>
      <c r="U27" s="35" t="s">
        <v>5</v>
      </c>
      <c r="V27" s="35"/>
      <c r="W27" s="212"/>
      <c r="X27" s="212"/>
      <c r="Y27" s="35"/>
      <c r="Z27" s="35"/>
      <c r="AA27" s="35"/>
      <c r="AB27" s="35" t="s">
        <v>5</v>
      </c>
      <c r="AC27" s="212"/>
      <c r="AD27" s="212"/>
      <c r="AE27" s="212"/>
      <c r="AF27" s="149"/>
      <c r="AG27" s="211">
        <f t="shared" si="0"/>
        <v>1</v>
      </c>
      <c r="AH27" s="9">
        <f t="shared" si="1"/>
        <v>4</v>
      </c>
      <c r="AI27" s="122">
        <v>0</v>
      </c>
      <c r="AJ27" s="115">
        <f>'2026.10.'!AL27</f>
        <v>46337</v>
      </c>
      <c r="AK27" s="8">
        <f t="shared" si="2"/>
        <v>46336</v>
      </c>
      <c r="AL27" s="8">
        <f t="shared" si="3"/>
        <v>46376</v>
      </c>
    </row>
    <row r="28" spans="1:39" ht="17.25" thickBot="1" x14ac:dyDescent="0.35">
      <c r="A28" s="10">
        <v>123</v>
      </c>
      <c r="B28" s="179"/>
      <c r="C28" s="183"/>
      <c r="D28" s="183" t="s">
        <v>5</v>
      </c>
      <c r="E28" s="183"/>
      <c r="F28" s="183"/>
      <c r="G28" s="183"/>
      <c r="H28" s="183"/>
      <c r="I28" s="183"/>
      <c r="J28" s="127"/>
      <c r="K28" s="127" t="s">
        <v>5</v>
      </c>
      <c r="L28" s="127"/>
      <c r="M28" s="127"/>
      <c r="N28" s="127"/>
      <c r="O28" s="183"/>
      <c r="P28" s="183"/>
      <c r="Q28" s="183"/>
      <c r="R28" s="183" t="s">
        <v>5</v>
      </c>
      <c r="S28" s="183"/>
      <c r="T28" s="183"/>
      <c r="U28" s="183"/>
      <c r="V28" s="127"/>
      <c r="W28" s="127"/>
      <c r="X28" s="127" t="s">
        <v>13</v>
      </c>
      <c r="Y28" s="127" t="s">
        <v>5</v>
      </c>
      <c r="Z28" s="127"/>
      <c r="AA28" s="127"/>
      <c r="AB28" s="127"/>
      <c r="AC28" s="127"/>
      <c r="AD28" s="127"/>
      <c r="AE28" s="127"/>
      <c r="AF28" s="180"/>
      <c r="AG28" s="128">
        <f t="shared" si="0"/>
        <v>1</v>
      </c>
      <c r="AH28" s="184">
        <f t="shared" si="1"/>
        <v>4</v>
      </c>
      <c r="AI28" s="185">
        <v>0</v>
      </c>
      <c r="AJ28" s="115">
        <f>'2026.10.'!AL28</f>
        <v>46356</v>
      </c>
      <c r="AK28" s="8">
        <f t="shared" si="2"/>
        <v>46349</v>
      </c>
      <c r="AL28" s="8">
        <f t="shared" si="3"/>
        <v>46389</v>
      </c>
    </row>
    <row r="29" spans="1:39" x14ac:dyDescent="0.3">
      <c r="A29" s="10" t="s">
        <v>10</v>
      </c>
      <c r="B29" s="118">
        <f>COUNTIF(B6:B28,"7D")</f>
        <v>3</v>
      </c>
      <c r="C29" s="18">
        <f t="shared" ref="C29:AF29" si="4">COUNTIF(C6:C28,"7D")</f>
        <v>3</v>
      </c>
      <c r="D29" s="18">
        <f t="shared" si="4"/>
        <v>3</v>
      </c>
      <c r="E29" s="18">
        <f t="shared" si="4"/>
        <v>3</v>
      </c>
      <c r="F29" s="18">
        <f t="shared" si="4"/>
        <v>3</v>
      </c>
      <c r="G29" s="18">
        <f t="shared" si="4"/>
        <v>3</v>
      </c>
      <c r="H29" s="18">
        <f t="shared" si="4"/>
        <v>3</v>
      </c>
      <c r="I29" s="18">
        <f t="shared" si="4"/>
        <v>2</v>
      </c>
      <c r="J29" s="18">
        <f t="shared" si="4"/>
        <v>3</v>
      </c>
      <c r="K29" s="18">
        <f t="shared" si="4"/>
        <v>3</v>
      </c>
      <c r="L29" s="18">
        <f t="shared" si="4"/>
        <v>3</v>
      </c>
      <c r="M29" s="18">
        <f t="shared" si="4"/>
        <v>3</v>
      </c>
      <c r="N29" s="18">
        <f t="shared" si="4"/>
        <v>3</v>
      </c>
      <c r="O29" s="18">
        <f t="shared" si="4"/>
        <v>3</v>
      </c>
      <c r="P29" s="18">
        <f t="shared" si="4"/>
        <v>2</v>
      </c>
      <c r="Q29" s="18">
        <f t="shared" si="4"/>
        <v>3</v>
      </c>
      <c r="R29" s="18">
        <f t="shared" si="4"/>
        <v>3</v>
      </c>
      <c r="S29" s="18">
        <f t="shared" si="4"/>
        <v>3</v>
      </c>
      <c r="T29" s="18">
        <f t="shared" si="4"/>
        <v>3</v>
      </c>
      <c r="U29" s="18">
        <f t="shared" si="4"/>
        <v>3</v>
      </c>
      <c r="V29" s="18">
        <f t="shared" si="4"/>
        <v>3</v>
      </c>
      <c r="W29" s="18">
        <f t="shared" si="4"/>
        <v>3</v>
      </c>
      <c r="X29" s="18">
        <f t="shared" si="4"/>
        <v>3</v>
      </c>
      <c r="Y29" s="18">
        <f t="shared" si="4"/>
        <v>3</v>
      </c>
      <c r="Z29" s="18">
        <f t="shared" si="4"/>
        <v>3</v>
      </c>
      <c r="AA29" s="18">
        <f t="shared" si="4"/>
        <v>3</v>
      </c>
      <c r="AB29" s="18">
        <f t="shared" si="4"/>
        <v>3</v>
      </c>
      <c r="AC29" s="18">
        <f t="shared" si="4"/>
        <v>3</v>
      </c>
      <c r="AD29" s="18">
        <f t="shared" si="4"/>
        <v>3</v>
      </c>
      <c r="AE29" s="18">
        <f t="shared" si="4"/>
        <v>3</v>
      </c>
      <c r="AF29" s="151">
        <f t="shared" si="4"/>
        <v>0</v>
      </c>
      <c r="AG29" s="209"/>
      <c r="AH29" s="181">
        <f>SUM(B29:AF29)</f>
        <v>88</v>
      </c>
      <c r="AI29" s="182"/>
      <c r="AJ29" s="2"/>
      <c r="AK29" s="8" t="str">
        <f t="shared" ref="AK29" si="5">IFERROR(INDEX($B$3:$AF$5,1,MATCH("청",B29:AF29,0)),"")</f>
        <v/>
      </c>
      <c r="AL29" s="1"/>
    </row>
    <row r="30" spans="1:39" x14ac:dyDescent="0.3">
      <c r="A30" s="10" t="s">
        <v>6</v>
      </c>
      <c r="B30" s="120">
        <v>0</v>
      </c>
      <c r="C30" s="212">
        <v>1</v>
      </c>
      <c r="D30" s="212">
        <v>1</v>
      </c>
      <c r="E30" s="212">
        <v>1</v>
      </c>
      <c r="F30" s="212">
        <v>1</v>
      </c>
      <c r="G30" s="212">
        <v>1</v>
      </c>
      <c r="H30" s="212">
        <v>0</v>
      </c>
      <c r="I30" s="212">
        <v>0</v>
      </c>
      <c r="J30" s="212">
        <v>1</v>
      </c>
      <c r="K30" s="212">
        <v>1</v>
      </c>
      <c r="L30" s="212">
        <v>1</v>
      </c>
      <c r="M30" s="212">
        <v>1</v>
      </c>
      <c r="N30" s="212">
        <v>1</v>
      </c>
      <c r="O30" s="212">
        <v>0</v>
      </c>
      <c r="P30" s="212">
        <v>0</v>
      </c>
      <c r="Q30" s="212">
        <v>1</v>
      </c>
      <c r="R30" s="212">
        <v>1</v>
      </c>
      <c r="S30" s="212">
        <v>1</v>
      </c>
      <c r="T30" s="212">
        <v>1</v>
      </c>
      <c r="U30" s="212">
        <v>1</v>
      </c>
      <c r="V30" s="212">
        <v>0</v>
      </c>
      <c r="W30" s="212">
        <v>0</v>
      </c>
      <c r="X30" s="212">
        <v>1</v>
      </c>
      <c r="Y30" s="212">
        <v>1</v>
      </c>
      <c r="Z30" s="212">
        <v>1</v>
      </c>
      <c r="AA30" s="212">
        <v>1</v>
      </c>
      <c r="AB30" s="212">
        <v>1</v>
      </c>
      <c r="AC30" s="212">
        <v>0</v>
      </c>
      <c r="AD30" s="212">
        <v>0</v>
      </c>
      <c r="AE30" s="51">
        <v>0</v>
      </c>
      <c r="AF30" s="149">
        <v>0</v>
      </c>
      <c r="AG30" s="211"/>
      <c r="AH30" s="208"/>
      <c r="AI30" s="210">
        <f>SUM(B30:AF30)</f>
        <v>20</v>
      </c>
      <c r="AJ30" s="2"/>
      <c r="AK30" s="1"/>
      <c r="AL30" s="1"/>
    </row>
    <row r="31" spans="1:39" ht="17.25" thickBot="1" x14ac:dyDescent="0.35">
      <c r="A31" s="10" t="s">
        <v>12</v>
      </c>
      <c r="B31" s="179">
        <f>COUNTIF(B6:B28,"청")</f>
        <v>0</v>
      </c>
      <c r="C31" s="127">
        <f t="shared" ref="C31:AF31" si="6">COUNTIF(C6:C28,"청")</f>
        <v>1</v>
      </c>
      <c r="D31" s="127">
        <f t="shared" si="6"/>
        <v>1</v>
      </c>
      <c r="E31" s="127">
        <f t="shared" si="6"/>
        <v>1</v>
      </c>
      <c r="F31" s="127">
        <f t="shared" si="6"/>
        <v>1</v>
      </c>
      <c r="G31" s="127">
        <f t="shared" si="6"/>
        <v>1</v>
      </c>
      <c r="H31" s="127">
        <f t="shared" si="6"/>
        <v>0</v>
      </c>
      <c r="I31" s="127">
        <f t="shared" si="6"/>
        <v>0</v>
      </c>
      <c r="J31" s="127">
        <f t="shared" si="6"/>
        <v>1</v>
      </c>
      <c r="K31" s="127">
        <f t="shared" si="6"/>
        <v>1</v>
      </c>
      <c r="L31" s="127">
        <f t="shared" si="6"/>
        <v>1</v>
      </c>
      <c r="M31" s="127">
        <f t="shared" si="6"/>
        <v>1</v>
      </c>
      <c r="N31" s="127">
        <f t="shared" si="6"/>
        <v>1</v>
      </c>
      <c r="O31" s="127">
        <f t="shared" si="6"/>
        <v>0</v>
      </c>
      <c r="P31" s="127">
        <f t="shared" si="6"/>
        <v>0</v>
      </c>
      <c r="Q31" s="160">
        <f t="shared" si="6"/>
        <v>0</v>
      </c>
      <c r="R31" s="127">
        <f t="shared" si="6"/>
        <v>1</v>
      </c>
      <c r="S31" s="127">
        <f t="shared" si="6"/>
        <v>1</v>
      </c>
      <c r="T31" s="127">
        <f t="shared" si="6"/>
        <v>1</v>
      </c>
      <c r="U31" s="127">
        <f t="shared" si="6"/>
        <v>1</v>
      </c>
      <c r="V31" s="127">
        <f t="shared" si="6"/>
        <v>0</v>
      </c>
      <c r="W31" s="127">
        <f t="shared" si="6"/>
        <v>0</v>
      </c>
      <c r="X31" s="127">
        <f t="shared" si="6"/>
        <v>1</v>
      </c>
      <c r="Y31" s="127">
        <f t="shared" si="6"/>
        <v>1</v>
      </c>
      <c r="Z31" s="127">
        <f t="shared" si="6"/>
        <v>1</v>
      </c>
      <c r="AA31" s="127">
        <f t="shared" si="6"/>
        <v>1</v>
      </c>
      <c r="AB31" s="127">
        <f t="shared" si="6"/>
        <v>1</v>
      </c>
      <c r="AC31" s="127">
        <f t="shared" si="6"/>
        <v>0</v>
      </c>
      <c r="AD31" s="127">
        <f t="shared" si="6"/>
        <v>0</v>
      </c>
      <c r="AE31" s="127">
        <f t="shared" si="6"/>
        <v>1</v>
      </c>
      <c r="AF31" s="180">
        <f t="shared" si="6"/>
        <v>0</v>
      </c>
      <c r="AG31" s="128"/>
      <c r="AH31" s="278">
        <f>SUM(B31:AF31)</f>
        <v>20</v>
      </c>
      <c r="AI31" s="279"/>
      <c r="AJ31" s="2"/>
      <c r="AK31" s="1"/>
      <c r="AL31" s="1"/>
    </row>
    <row r="32" spans="1:39" x14ac:dyDescent="0.3">
      <c r="A32" s="17"/>
      <c r="B32" s="17"/>
      <c r="C32" s="85"/>
      <c r="D32" s="105"/>
      <c r="E32" s="86"/>
      <c r="F32" s="106"/>
      <c r="G32" s="34"/>
      <c r="H32" s="34"/>
      <c r="I32" s="34"/>
      <c r="J32" s="34"/>
      <c r="K32" s="87"/>
      <c r="Q32" s="163" t="s">
        <v>183</v>
      </c>
      <c r="T32" s="83"/>
      <c r="AA32" s="34"/>
      <c r="AB32" s="82"/>
      <c r="AD32" s="83"/>
      <c r="AE32" s="163" t="s">
        <v>176</v>
      </c>
    </row>
    <row r="34" spans="1:24" x14ac:dyDescent="0.3">
      <c r="A34" s="17"/>
      <c r="B34" s="328" t="s">
        <v>167</v>
      </c>
      <c r="C34" s="328"/>
      <c r="D34" s="328"/>
      <c r="E34" s="329"/>
      <c r="F34" s="329"/>
      <c r="G34" s="329"/>
      <c r="H34" s="330"/>
      <c r="I34" s="330"/>
      <c r="J34" s="330"/>
    </row>
    <row r="35" spans="1:24" x14ac:dyDescent="0.3">
      <c r="A35" s="17"/>
      <c r="B35" s="328"/>
      <c r="C35" s="328"/>
      <c r="D35" s="328"/>
      <c r="E35" s="329"/>
      <c r="F35" s="329"/>
      <c r="G35" s="329"/>
      <c r="H35" s="330"/>
      <c r="I35" s="330"/>
      <c r="J35" s="330"/>
      <c r="X35" t="s">
        <v>185</v>
      </c>
    </row>
    <row r="36" spans="1:24" ht="26.25" x14ac:dyDescent="0.3">
      <c r="A36" s="17"/>
      <c r="B36" s="328"/>
      <c r="C36" s="328"/>
      <c r="D36" s="328"/>
      <c r="E36" s="329"/>
      <c r="F36" s="329"/>
      <c r="G36" s="329"/>
      <c r="H36" s="330"/>
      <c r="I36" s="330"/>
      <c r="J36" s="330"/>
      <c r="X36" s="217" t="s">
        <v>192</v>
      </c>
    </row>
    <row r="37" spans="1:24" x14ac:dyDescent="0.3">
      <c r="B37" s="328"/>
      <c r="C37" s="328"/>
      <c r="D37" s="328"/>
      <c r="E37" s="329"/>
      <c r="F37" s="329"/>
      <c r="G37" s="329"/>
      <c r="H37" s="330"/>
      <c r="I37" s="330"/>
      <c r="J37" s="330"/>
      <c r="M37" s="17"/>
      <c r="N37" s="135"/>
      <c r="O37" s="136"/>
    </row>
    <row r="38" spans="1:24" x14ac:dyDescent="0.3">
      <c r="B38" s="328"/>
      <c r="C38" s="328"/>
      <c r="D38" s="328"/>
      <c r="E38" s="294"/>
      <c r="F38" s="294"/>
      <c r="G38" s="294"/>
      <c r="H38" s="295"/>
      <c r="I38" s="295"/>
      <c r="J38" s="295"/>
      <c r="M38" s="17"/>
      <c r="N38" s="135"/>
      <c r="O38" s="136"/>
      <c r="X38" t="s">
        <v>184</v>
      </c>
    </row>
    <row r="39" spans="1:24" ht="26.25" x14ac:dyDescent="0.3">
      <c r="B39" s="328"/>
      <c r="C39" s="328"/>
      <c r="D39" s="328"/>
      <c r="E39" s="294"/>
      <c r="F39" s="294"/>
      <c r="G39" s="294"/>
      <c r="H39" s="295"/>
      <c r="I39" s="295"/>
      <c r="J39" s="295"/>
      <c r="X39" s="84" t="s">
        <v>191</v>
      </c>
    </row>
  </sheetData>
  <mergeCells count="60">
    <mergeCell ref="B39:D39"/>
    <mergeCell ref="E39:G39"/>
    <mergeCell ref="H39:J39"/>
    <mergeCell ref="B25:AE25"/>
    <mergeCell ref="C14:F14"/>
    <mergeCell ref="G26:L26"/>
    <mergeCell ref="M22:R22"/>
    <mergeCell ref="S17:X17"/>
    <mergeCell ref="B37:D37"/>
    <mergeCell ref="E37:G37"/>
    <mergeCell ref="H37:J37"/>
    <mergeCell ref="B38:D38"/>
    <mergeCell ref="E38:G38"/>
    <mergeCell ref="H38:J38"/>
    <mergeCell ref="B35:D35"/>
    <mergeCell ref="E35:G35"/>
    <mergeCell ref="H35:J35"/>
    <mergeCell ref="B36:D36"/>
    <mergeCell ref="E36:G36"/>
    <mergeCell ref="H36:J36"/>
    <mergeCell ref="AH31:AI31"/>
    <mergeCell ref="B34:D34"/>
    <mergeCell ref="E34:G34"/>
    <mergeCell ref="H34:J34"/>
    <mergeCell ref="Y3:Y4"/>
    <mergeCell ref="AG3:AI4"/>
    <mergeCell ref="Y6:AB6"/>
    <mergeCell ref="AA3:AA4"/>
    <mergeCell ref="AB3:AB4"/>
    <mergeCell ref="AC3:AC4"/>
    <mergeCell ref="AD3:AD4"/>
    <mergeCell ref="AE3:AE4"/>
    <mergeCell ref="AF3:AF4"/>
    <mergeCell ref="Z3:Z4"/>
    <mergeCell ref="S3:S4"/>
    <mergeCell ref="U3:U4"/>
    <mergeCell ref="V3:V4"/>
    <mergeCell ref="W3:W4"/>
    <mergeCell ref="X3:X4"/>
    <mergeCell ref="N3:N4"/>
    <mergeCell ref="O3:O4"/>
    <mergeCell ref="P3:P4"/>
    <mergeCell ref="Q3:Q4"/>
    <mergeCell ref="R3:R4"/>
    <mergeCell ref="A1:AI1"/>
    <mergeCell ref="A2:AI2"/>
    <mergeCell ref="A3:A4"/>
    <mergeCell ref="B3:B4"/>
    <mergeCell ref="C3:C4"/>
    <mergeCell ref="D3:D4"/>
    <mergeCell ref="E3:E4"/>
    <mergeCell ref="F3:F4"/>
    <mergeCell ref="G3:G4"/>
    <mergeCell ref="H3:H4"/>
    <mergeCell ref="T3:T4"/>
    <mergeCell ref="I3:I4"/>
    <mergeCell ref="J3:J4"/>
    <mergeCell ref="K3:K4"/>
    <mergeCell ref="L3:L4"/>
    <mergeCell ref="M3:M4"/>
  </mergeCells>
  <phoneticPr fontId="3" type="noConversion"/>
  <conditionalFormatting sqref="B3:AF5 B6:Y6 AC6:AF6 B7:AF13 B14:C14 G14:AF14 B15:AF16 B17:S17 Y17:AF17 B18:AF21 B22:M22 S22:AF22 B23:AF24 AF25 B26:G26 M26:AF26 B27:AF31">
    <cfRule type="expression" dxfId="1" priority="1">
      <formula>OR(WEEKDAY(B$3,1)=7,WEEKDAY(B$3,1)=1,B$3=$E$34:$G$39)</formula>
    </cfRule>
  </conditionalFormatting>
  <pageMargins left="0.25" right="0.25" top="0.75" bottom="0.75" header="0.3" footer="0.3"/>
  <pageSetup paperSize="9" scale="68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860C-B14E-426E-BCE1-626582F66BEA}">
  <sheetPr>
    <pageSetUpPr fitToPage="1"/>
  </sheetPr>
  <dimension ref="A1:AM41"/>
  <sheetViews>
    <sheetView workbookViewId="0">
      <pane ySplit="5" topLeftCell="A13" activePane="bottomLeft" state="frozen"/>
      <selection pane="bottomLeft" activeCell="AN27" sqref="AN27"/>
    </sheetView>
  </sheetViews>
  <sheetFormatPr defaultRowHeight="16.5" x14ac:dyDescent="0.3"/>
  <cols>
    <col min="1" max="1" width="9.125" bestFit="1" customWidth="1"/>
    <col min="2" max="31" width="3.75" customWidth="1"/>
    <col min="32" max="32" width="3.25" customWidth="1"/>
    <col min="33" max="35" width="3.75" customWidth="1"/>
    <col min="36" max="36" width="12.5" hidden="1" customWidth="1"/>
    <col min="37" max="38" width="11.25" hidden="1" customWidth="1"/>
    <col min="39" max="39" width="10.375" hidden="1" customWidth="1"/>
  </cols>
  <sheetData>
    <row r="1" spans="1:39" x14ac:dyDescent="0.3">
      <c r="A1" s="264" t="s">
        <v>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18"/>
      <c r="AK1" s="1"/>
      <c r="AL1" s="1"/>
    </row>
    <row r="2" spans="1:39" ht="17.25" thickBot="1" x14ac:dyDescent="0.35">
      <c r="A2" s="266" t="s">
        <v>177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19"/>
      <c r="AK2" s="1"/>
      <c r="AL2" s="1"/>
    </row>
    <row r="3" spans="1:39" x14ac:dyDescent="0.3">
      <c r="A3" s="268" t="s">
        <v>1</v>
      </c>
      <c r="B3" s="311">
        <v>46357</v>
      </c>
      <c r="C3" s="309">
        <v>46358</v>
      </c>
      <c r="D3" s="309">
        <v>46359</v>
      </c>
      <c r="E3" s="309">
        <v>46360</v>
      </c>
      <c r="F3" s="309">
        <v>46361</v>
      </c>
      <c r="G3" s="309">
        <v>46362</v>
      </c>
      <c r="H3" s="309">
        <v>46363</v>
      </c>
      <c r="I3" s="309">
        <v>46364</v>
      </c>
      <c r="J3" s="309">
        <v>46365</v>
      </c>
      <c r="K3" s="309">
        <v>46366</v>
      </c>
      <c r="L3" s="309">
        <v>46367</v>
      </c>
      <c r="M3" s="309">
        <v>46368</v>
      </c>
      <c r="N3" s="309">
        <v>46369</v>
      </c>
      <c r="O3" s="309">
        <v>46370</v>
      </c>
      <c r="P3" s="309">
        <v>46371</v>
      </c>
      <c r="Q3" s="309">
        <v>46372</v>
      </c>
      <c r="R3" s="309">
        <v>46373</v>
      </c>
      <c r="S3" s="309">
        <v>46374</v>
      </c>
      <c r="T3" s="309">
        <v>46375</v>
      </c>
      <c r="U3" s="309">
        <v>46376</v>
      </c>
      <c r="V3" s="309">
        <v>46377</v>
      </c>
      <c r="W3" s="309">
        <v>46378</v>
      </c>
      <c r="X3" s="309">
        <v>46379</v>
      </c>
      <c r="Y3" s="309">
        <v>46380</v>
      </c>
      <c r="Z3" s="309">
        <v>46381</v>
      </c>
      <c r="AA3" s="309">
        <v>46382</v>
      </c>
      <c r="AB3" s="309">
        <v>46383</v>
      </c>
      <c r="AC3" s="309">
        <v>46384</v>
      </c>
      <c r="AD3" s="309">
        <v>46385</v>
      </c>
      <c r="AE3" s="309">
        <v>46386</v>
      </c>
      <c r="AF3" s="313">
        <v>46387</v>
      </c>
      <c r="AG3" s="296" t="s">
        <v>2</v>
      </c>
      <c r="AH3" s="285"/>
      <c r="AI3" s="286"/>
      <c r="AJ3" s="2"/>
      <c r="AK3" s="1"/>
      <c r="AL3" s="1"/>
    </row>
    <row r="4" spans="1:39" x14ac:dyDescent="0.3">
      <c r="A4" s="269"/>
      <c r="B4" s="312"/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10"/>
      <c r="Z4" s="310"/>
      <c r="AA4" s="310"/>
      <c r="AB4" s="310"/>
      <c r="AC4" s="310"/>
      <c r="AD4" s="310"/>
      <c r="AE4" s="310"/>
      <c r="AF4" s="314"/>
      <c r="AG4" s="297"/>
      <c r="AH4" s="255"/>
      <c r="AI4" s="287"/>
      <c r="AJ4" s="2"/>
      <c r="AK4" s="1"/>
      <c r="AL4" s="1"/>
    </row>
    <row r="5" spans="1:39" ht="17.25" thickBot="1" x14ac:dyDescent="0.35">
      <c r="A5" s="66" t="s">
        <v>3</v>
      </c>
      <c r="B5" s="116">
        <v>46357</v>
      </c>
      <c r="C5" s="43">
        <v>46358</v>
      </c>
      <c r="D5" s="43">
        <v>46359</v>
      </c>
      <c r="E5" s="43">
        <v>46360</v>
      </c>
      <c r="F5" s="43">
        <v>46361</v>
      </c>
      <c r="G5" s="43">
        <v>46362</v>
      </c>
      <c r="H5" s="43">
        <v>46363</v>
      </c>
      <c r="I5" s="43">
        <v>46364</v>
      </c>
      <c r="J5" s="43">
        <v>46365</v>
      </c>
      <c r="K5" s="43">
        <v>46366</v>
      </c>
      <c r="L5" s="43">
        <v>46367</v>
      </c>
      <c r="M5" s="43">
        <v>46368</v>
      </c>
      <c r="N5" s="43">
        <v>46369</v>
      </c>
      <c r="O5" s="43">
        <v>46370</v>
      </c>
      <c r="P5" s="43">
        <v>46371</v>
      </c>
      <c r="Q5" s="43">
        <v>46372</v>
      </c>
      <c r="R5" s="43">
        <v>46373</v>
      </c>
      <c r="S5" s="43">
        <v>46374</v>
      </c>
      <c r="T5" s="43">
        <v>46375</v>
      </c>
      <c r="U5" s="43">
        <v>46376</v>
      </c>
      <c r="V5" s="43">
        <v>46377</v>
      </c>
      <c r="W5" s="43">
        <v>46378</v>
      </c>
      <c r="X5" s="43">
        <v>46379</v>
      </c>
      <c r="Y5" s="43">
        <v>46380</v>
      </c>
      <c r="Z5" s="43">
        <v>46381</v>
      </c>
      <c r="AA5" s="43">
        <v>46382</v>
      </c>
      <c r="AB5" s="43">
        <v>46383</v>
      </c>
      <c r="AC5" s="43">
        <v>46384</v>
      </c>
      <c r="AD5" s="43">
        <v>46385</v>
      </c>
      <c r="AE5" s="43">
        <v>46386</v>
      </c>
      <c r="AF5" s="152">
        <v>46387</v>
      </c>
      <c r="AG5" s="225" t="s">
        <v>4</v>
      </c>
      <c r="AH5" s="220" t="s">
        <v>10</v>
      </c>
      <c r="AI5" s="224" t="s">
        <v>6</v>
      </c>
      <c r="AJ5" s="114" t="s">
        <v>7</v>
      </c>
      <c r="AK5" s="6" t="s">
        <v>8</v>
      </c>
      <c r="AL5" s="6" t="s">
        <v>9</v>
      </c>
    </row>
    <row r="6" spans="1:39" ht="17.25" thickTop="1" x14ac:dyDescent="0.3">
      <c r="A6" s="19">
        <v>101</v>
      </c>
      <c r="B6" s="194"/>
      <c r="C6" s="7"/>
      <c r="D6" s="7"/>
      <c r="E6" s="7" t="s">
        <v>10</v>
      </c>
      <c r="F6" s="7"/>
      <c r="G6" s="7"/>
      <c r="H6" s="7"/>
      <c r="I6" s="7"/>
      <c r="J6" s="36"/>
      <c r="K6" s="36"/>
      <c r="L6" s="36" t="s">
        <v>5</v>
      </c>
      <c r="M6" s="36"/>
      <c r="N6" s="7"/>
      <c r="O6" s="36"/>
      <c r="P6" s="36"/>
      <c r="Q6" s="36"/>
      <c r="R6" s="36"/>
      <c r="S6" s="36" t="s">
        <v>5</v>
      </c>
      <c r="T6" s="36"/>
      <c r="U6" s="36"/>
      <c r="V6" s="7"/>
      <c r="W6" s="7"/>
      <c r="X6" s="7"/>
      <c r="Y6" s="36"/>
      <c r="Z6" s="36" t="s">
        <v>5</v>
      </c>
      <c r="AA6" s="36"/>
      <c r="AB6" s="36"/>
      <c r="AC6" s="7"/>
      <c r="AD6" s="7"/>
      <c r="AE6" s="7"/>
      <c r="AF6" s="195"/>
      <c r="AG6" s="45">
        <f>COUNTIF(B6:AF6,"청")</f>
        <v>0</v>
      </c>
      <c r="AH6" s="9">
        <f>COUNTIF(B6:AF6,"7D")</f>
        <v>4</v>
      </c>
      <c r="AI6" s="122">
        <v>0</v>
      </c>
      <c r="AJ6" s="115">
        <f>'2026.11.'!AL6</f>
        <v>46396</v>
      </c>
      <c r="AK6" s="8" t="str">
        <f>IFERROR(INDEX($B$3:$AF$5,1,MATCH("청",B6:AF6,0)),"")</f>
        <v/>
      </c>
      <c r="AL6" s="8">
        <f>AJ6</f>
        <v>46396</v>
      </c>
      <c r="AM6" s="81"/>
    </row>
    <row r="7" spans="1:39" x14ac:dyDescent="0.3">
      <c r="A7" s="10">
        <v>102</v>
      </c>
      <c r="B7" s="214" t="s">
        <v>5</v>
      </c>
      <c r="C7" s="74"/>
      <c r="D7" s="227"/>
      <c r="E7" s="227"/>
      <c r="F7" s="227"/>
      <c r="G7" s="227"/>
      <c r="H7" s="227"/>
      <c r="I7" s="235" t="s">
        <v>5</v>
      </c>
      <c r="J7" s="227"/>
      <c r="K7" s="227"/>
      <c r="L7" s="227"/>
      <c r="M7" s="227"/>
      <c r="N7" s="227"/>
      <c r="O7" s="227"/>
      <c r="P7" s="235" t="s">
        <v>5</v>
      </c>
      <c r="Q7" s="227"/>
      <c r="R7" s="227"/>
      <c r="S7" s="227"/>
      <c r="T7" s="227"/>
      <c r="U7" s="227"/>
      <c r="V7" s="227" t="s">
        <v>13</v>
      </c>
      <c r="W7" s="35" t="s">
        <v>5</v>
      </c>
      <c r="X7" s="35"/>
      <c r="Y7" s="35"/>
      <c r="Z7" s="35"/>
      <c r="AA7" s="35"/>
      <c r="AB7" s="35"/>
      <c r="AC7" s="35"/>
      <c r="AD7" s="35" t="s">
        <v>5</v>
      </c>
      <c r="AE7" s="35"/>
      <c r="AF7" s="150"/>
      <c r="AG7" s="45">
        <f t="shared" ref="AG7:AG28" si="0">COUNTIF(B7:AF7,"청")</f>
        <v>1</v>
      </c>
      <c r="AH7" s="44">
        <f t="shared" ref="AH7:AH28" si="1">COUNTIF(B7:AF7,"7D")</f>
        <v>5</v>
      </c>
      <c r="AI7" s="121">
        <v>0</v>
      </c>
      <c r="AJ7" s="115">
        <f>'2026.11.'!AL7</f>
        <v>46385</v>
      </c>
      <c r="AK7" s="8">
        <f t="shared" ref="AK7:AK28" si="2">IFERROR(INDEX($B$3:$AF$5,1,MATCH("청",B7:AF7,0)),"")</f>
        <v>46377</v>
      </c>
      <c r="AL7" s="8">
        <f t="shared" ref="AL7:AL28" si="3">IFERROR(AK7+40,"")</f>
        <v>46417</v>
      </c>
      <c r="AM7" s="81"/>
    </row>
    <row r="8" spans="1:39" x14ac:dyDescent="0.3">
      <c r="A8" s="10">
        <v>103</v>
      </c>
      <c r="B8" s="120"/>
      <c r="C8" s="35" t="s">
        <v>13</v>
      </c>
      <c r="D8" s="35"/>
      <c r="E8" s="35"/>
      <c r="F8" s="35"/>
      <c r="G8" s="235" t="s">
        <v>5</v>
      </c>
      <c r="H8" s="227"/>
      <c r="I8" s="227"/>
      <c r="J8" s="227"/>
      <c r="K8" s="227"/>
      <c r="L8" s="227"/>
      <c r="M8" s="227"/>
      <c r="N8" s="235" t="s">
        <v>5</v>
      </c>
      <c r="O8" s="227"/>
      <c r="P8" s="35"/>
      <c r="Q8" s="35"/>
      <c r="R8" s="35"/>
      <c r="S8" s="35"/>
      <c r="T8" s="227"/>
      <c r="U8" s="235" t="s">
        <v>5</v>
      </c>
      <c r="V8" s="35"/>
      <c r="W8" s="35"/>
      <c r="X8" s="35"/>
      <c r="Y8" s="35"/>
      <c r="Z8" s="35"/>
      <c r="AA8" s="35"/>
      <c r="AB8" s="235" t="s">
        <v>5</v>
      </c>
      <c r="AC8" s="227"/>
      <c r="AD8" s="227"/>
      <c r="AE8" s="227"/>
      <c r="AF8" s="149"/>
      <c r="AG8" s="225">
        <f t="shared" si="0"/>
        <v>1</v>
      </c>
      <c r="AH8" s="9">
        <f t="shared" si="1"/>
        <v>4</v>
      </c>
      <c r="AI8" s="122">
        <v>0</v>
      </c>
      <c r="AJ8" s="115">
        <f>'2026.11.'!AL8</f>
        <v>46362</v>
      </c>
      <c r="AK8" s="8">
        <f t="shared" si="2"/>
        <v>46358</v>
      </c>
      <c r="AL8" s="8">
        <f t="shared" si="3"/>
        <v>46398</v>
      </c>
      <c r="AM8" s="81"/>
    </row>
    <row r="9" spans="1:39" x14ac:dyDescent="0.3">
      <c r="A9" s="10">
        <v>104</v>
      </c>
      <c r="B9" s="292" t="s">
        <v>129</v>
      </c>
      <c r="C9" s="254"/>
      <c r="D9" s="254"/>
      <c r="E9" s="249"/>
      <c r="F9" s="227"/>
      <c r="G9" s="227"/>
      <c r="H9" s="227" t="s">
        <v>13</v>
      </c>
      <c r="I9" s="227"/>
      <c r="J9" s="227"/>
      <c r="K9" s="227"/>
      <c r="L9" s="227"/>
      <c r="M9" s="235" t="s">
        <v>5</v>
      </c>
      <c r="N9" s="35"/>
      <c r="O9" s="35"/>
      <c r="P9" s="35"/>
      <c r="Q9" s="35"/>
      <c r="R9" s="35"/>
      <c r="S9" s="35"/>
      <c r="T9" s="235" t="s">
        <v>5</v>
      </c>
      <c r="U9" s="35"/>
      <c r="V9" s="35"/>
      <c r="W9" s="35"/>
      <c r="X9" s="35"/>
      <c r="Y9" s="227"/>
      <c r="Z9" s="227"/>
      <c r="AA9" s="235" t="s">
        <v>5</v>
      </c>
      <c r="AB9" s="227"/>
      <c r="AC9" s="227"/>
      <c r="AD9" s="227"/>
      <c r="AE9" s="227"/>
      <c r="AF9" s="149"/>
      <c r="AG9" s="225">
        <f t="shared" si="0"/>
        <v>1</v>
      </c>
      <c r="AH9" s="9">
        <f t="shared" si="1"/>
        <v>3</v>
      </c>
      <c r="AI9" s="122">
        <v>0</v>
      </c>
      <c r="AJ9" s="115">
        <f>'2026.11.'!AL9</f>
        <v>46375</v>
      </c>
      <c r="AK9" s="8">
        <f t="shared" si="2"/>
        <v>46363</v>
      </c>
      <c r="AL9" s="8">
        <f t="shared" si="3"/>
        <v>46403</v>
      </c>
    </row>
    <row r="10" spans="1:39" x14ac:dyDescent="0.3">
      <c r="A10" s="10">
        <v>105</v>
      </c>
      <c r="B10" s="120"/>
      <c r="C10" s="227"/>
      <c r="D10" s="35"/>
      <c r="E10" s="35"/>
      <c r="F10" s="35"/>
      <c r="G10" s="35"/>
      <c r="H10" s="35" t="s">
        <v>5</v>
      </c>
      <c r="I10" s="35"/>
      <c r="J10" s="227"/>
      <c r="K10" s="227"/>
      <c r="L10" s="227"/>
      <c r="M10" s="227"/>
      <c r="N10" s="227"/>
      <c r="O10" s="235" t="s">
        <v>5</v>
      </c>
      <c r="P10" s="227"/>
      <c r="Q10" s="227"/>
      <c r="R10" s="227"/>
      <c r="S10" s="227"/>
      <c r="T10" s="227"/>
      <c r="U10" s="227"/>
      <c r="V10" s="235" t="s">
        <v>5</v>
      </c>
      <c r="W10" s="227"/>
      <c r="X10" s="227"/>
      <c r="Y10" s="227"/>
      <c r="Z10" s="227"/>
      <c r="AA10" s="227"/>
      <c r="AB10" s="227"/>
      <c r="AC10" s="35" t="s">
        <v>5</v>
      </c>
      <c r="AD10" s="35" t="s">
        <v>13</v>
      </c>
      <c r="AE10" s="35"/>
      <c r="AF10" s="149"/>
      <c r="AG10" s="225">
        <f t="shared" si="0"/>
        <v>1</v>
      </c>
      <c r="AH10" s="9">
        <f t="shared" si="1"/>
        <v>4</v>
      </c>
      <c r="AI10" s="122">
        <v>0</v>
      </c>
      <c r="AJ10" s="115">
        <f>'2026.11.'!AL10</f>
        <v>46391</v>
      </c>
      <c r="AK10" s="8">
        <f t="shared" si="2"/>
        <v>46385</v>
      </c>
      <c r="AL10" s="8">
        <f t="shared" si="3"/>
        <v>46425</v>
      </c>
      <c r="AM10" s="80"/>
    </row>
    <row r="11" spans="1:39" x14ac:dyDescent="0.3">
      <c r="A11" s="10">
        <v>106</v>
      </c>
      <c r="B11" s="137"/>
      <c r="C11" s="35"/>
      <c r="D11" s="35" t="s">
        <v>13</v>
      </c>
      <c r="E11" s="35"/>
      <c r="F11" s="35" t="s">
        <v>5</v>
      </c>
      <c r="G11" s="35"/>
      <c r="H11" s="35"/>
      <c r="I11" s="35"/>
      <c r="J11" s="35"/>
      <c r="K11" s="35"/>
      <c r="L11" s="35"/>
      <c r="M11" s="235" t="s">
        <v>5</v>
      </c>
      <c r="N11" s="227"/>
      <c r="O11" s="227"/>
      <c r="P11" s="227"/>
      <c r="Q11" s="227"/>
      <c r="R11" s="227"/>
      <c r="S11" s="227"/>
      <c r="T11" s="235" t="s">
        <v>5</v>
      </c>
      <c r="U11" s="227"/>
      <c r="V11" s="227"/>
      <c r="W11" s="35"/>
      <c r="X11" s="35"/>
      <c r="Y11" s="35"/>
      <c r="Z11" s="35"/>
      <c r="AA11" s="235" t="s">
        <v>5</v>
      </c>
      <c r="AB11" s="35"/>
      <c r="AC11" s="35"/>
      <c r="AD11" s="35"/>
      <c r="AE11" s="35"/>
      <c r="AF11" s="149"/>
      <c r="AG11" s="225">
        <f t="shared" si="0"/>
        <v>1</v>
      </c>
      <c r="AH11" s="9">
        <f t="shared" si="1"/>
        <v>4</v>
      </c>
      <c r="AI11" s="122">
        <v>0</v>
      </c>
      <c r="AJ11" s="115">
        <f>'2026.11.'!AL11</f>
        <v>46368</v>
      </c>
      <c r="AK11" s="8">
        <f t="shared" si="2"/>
        <v>46359</v>
      </c>
      <c r="AL11" s="8">
        <f t="shared" si="3"/>
        <v>46399</v>
      </c>
      <c r="AM11" s="80"/>
    </row>
    <row r="12" spans="1:39" x14ac:dyDescent="0.3">
      <c r="A12" s="10">
        <v>107</v>
      </c>
      <c r="B12" s="137"/>
      <c r="C12" s="35" t="s">
        <v>5</v>
      </c>
      <c r="D12" s="35"/>
      <c r="E12" s="35"/>
      <c r="F12" s="227"/>
      <c r="G12" s="227"/>
      <c r="H12" s="253" t="s">
        <v>96</v>
      </c>
      <c r="I12" s="254"/>
      <c r="J12" s="254"/>
      <c r="K12" s="249"/>
      <c r="L12" s="35"/>
      <c r="M12" s="35"/>
      <c r="N12" s="35"/>
      <c r="O12" s="35" t="s">
        <v>13</v>
      </c>
      <c r="P12" s="35"/>
      <c r="Q12" s="35"/>
      <c r="R12" s="35" t="s">
        <v>5</v>
      </c>
      <c r="S12" s="35"/>
      <c r="T12" s="35"/>
      <c r="U12" s="35"/>
      <c r="V12" s="35"/>
      <c r="W12" s="35"/>
      <c r="X12" s="35"/>
      <c r="Y12" s="35" t="s">
        <v>5</v>
      </c>
      <c r="Z12" s="35"/>
      <c r="AA12" s="35"/>
      <c r="AB12" s="35"/>
      <c r="AC12" s="35"/>
      <c r="AD12" s="227"/>
      <c r="AE12" s="74"/>
      <c r="AF12" s="196" t="s">
        <v>5</v>
      </c>
      <c r="AG12" s="225">
        <f t="shared" si="0"/>
        <v>1</v>
      </c>
      <c r="AH12" s="9">
        <f t="shared" si="1"/>
        <v>4</v>
      </c>
      <c r="AI12" s="122">
        <v>0</v>
      </c>
      <c r="AJ12" s="115">
        <f>'2026.11.'!AL12</f>
        <v>46383</v>
      </c>
      <c r="AK12" s="8">
        <f t="shared" si="2"/>
        <v>46370</v>
      </c>
      <c r="AL12" s="8">
        <f t="shared" si="3"/>
        <v>46410</v>
      </c>
      <c r="AM12" s="81"/>
    </row>
    <row r="13" spans="1:39" x14ac:dyDescent="0.3">
      <c r="A13" s="10">
        <v>108</v>
      </c>
      <c r="B13" s="137"/>
      <c r="C13" s="35"/>
      <c r="D13" s="35"/>
      <c r="E13" s="35"/>
      <c r="F13" s="35"/>
      <c r="G13" s="35"/>
      <c r="H13" s="235" t="s">
        <v>5</v>
      </c>
      <c r="I13" s="227"/>
      <c r="J13" s="227"/>
      <c r="K13" s="227"/>
      <c r="L13" s="227"/>
      <c r="M13" s="227"/>
      <c r="N13" s="227"/>
      <c r="O13" s="235" t="s">
        <v>5</v>
      </c>
      <c r="P13" s="227"/>
      <c r="Q13" s="227" t="s">
        <v>13</v>
      </c>
      <c r="R13" s="227"/>
      <c r="S13" s="227"/>
      <c r="T13" s="227"/>
      <c r="U13" s="227"/>
      <c r="V13" s="235" t="s">
        <v>5</v>
      </c>
      <c r="W13" s="227"/>
      <c r="X13" s="227"/>
      <c r="Y13" s="227"/>
      <c r="Z13" s="227"/>
      <c r="AA13" s="227"/>
      <c r="AB13" s="227"/>
      <c r="AC13" s="235" t="s">
        <v>5</v>
      </c>
      <c r="AD13" s="227"/>
      <c r="AE13" s="213"/>
      <c r="AF13" s="149"/>
      <c r="AG13" s="225">
        <f t="shared" si="0"/>
        <v>1</v>
      </c>
      <c r="AH13" s="9">
        <f t="shared" si="1"/>
        <v>4</v>
      </c>
      <c r="AI13" s="122">
        <v>0</v>
      </c>
      <c r="AJ13" s="115">
        <f>'2026.11.'!AL13</f>
        <v>46379</v>
      </c>
      <c r="AK13" s="8">
        <f t="shared" si="2"/>
        <v>46372</v>
      </c>
      <c r="AL13" s="8">
        <f t="shared" si="3"/>
        <v>46412</v>
      </c>
      <c r="AM13" s="80"/>
    </row>
    <row r="14" spans="1:39" x14ac:dyDescent="0.3">
      <c r="A14" s="10">
        <v>109</v>
      </c>
      <c r="B14" s="120"/>
      <c r="C14" s="35"/>
      <c r="D14" s="35"/>
      <c r="E14" s="35" t="s">
        <v>5</v>
      </c>
      <c r="F14" s="35"/>
      <c r="G14" s="227"/>
      <c r="H14" s="227"/>
      <c r="I14" s="227"/>
      <c r="J14" s="227"/>
      <c r="K14" s="227" t="s">
        <v>13</v>
      </c>
      <c r="L14" s="235" t="s">
        <v>5</v>
      </c>
      <c r="M14" s="35"/>
      <c r="N14" s="35"/>
      <c r="O14" s="35"/>
      <c r="P14" s="35"/>
      <c r="Q14" s="35"/>
      <c r="R14" s="35"/>
      <c r="S14" s="35" t="s">
        <v>5</v>
      </c>
      <c r="T14" s="35"/>
      <c r="U14" s="35"/>
      <c r="V14" s="227"/>
      <c r="W14" s="227"/>
      <c r="X14" s="227"/>
      <c r="Y14" s="227"/>
      <c r="Z14" s="235" t="s">
        <v>5</v>
      </c>
      <c r="AA14" s="35"/>
      <c r="AB14" s="35"/>
      <c r="AC14" s="35"/>
      <c r="AD14" s="35"/>
      <c r="AE14" s="35"/>
      <c r="AF14" s="149"/>
      <c r="AG14" s="225">
        <f t="shared" si="0"/>
        <v>1</v>
      </c>
      <c r="AH14" s="9">
        <f t="shared" si="1"/>
        <v>4</v>
      </c>
      <c r="AI14" s="122">
        <v>0</v>
      </c>
      <c r="AJ14" s="115">
        <f>'2026.11.'!AL14</f>
        <v>46372</v>
      </c>
      <c r="AK14" s="8">
        <f t="shared" si="2"/>
        <v>46366</v>
      </c>
      <c r="AL14" s="8">
        <f t="shared" si="3"/>
        <v>46406</v>
      </c>
    </row>
    <row r="15" spans="1:39" x14ac:dyDescent="0.3">
      <c r="A15" s="10">
        <v>110</v>
      </c>
      <c r="B15" s="137"/>
      <c r="C15" s="35"/>
      <c r="D15" s="35"/>
      <c r="E15" s="35"/>
      <c r="F15" s="235" t="s">
        <v>5</v>
      </c>
      <c r="G15" s="227"/>
      <c r="H15" s="227"/>
      <c r="I15" s="227" t="s">
        <v>13</v>
      </c>
      <c r="J15" s="227"/>
      <c r="K15" s="35"/>
      <c r="L15" s="35"/>
      <c r="M15" s="35" t="s">
        <v>5</v>
      </c>
      <c r="N15" s="35"/>
      <c r="O15" s="35"/>
      <c r="P15" s="35"/>
      <c r="Q15" s="227"/>
      <c r="R15" s="227"/>
      <c r="S15" s="35"/>
      <c r="T15" s="35" t="s">
        <v>5</v>
      </c>
      <c r="U15" s="35"/>
      <c r="V15" s="35"/>
      <c r="W15" s="227"/>
      <c r="X15" s="227"/>
      <c r="Y15" s="227"/>
      <c r="Z15" s="235" t="s">
        <v>5</v>
      </c>
      <c r="AA15" s="227"/>
      <c r="AB15" s="227"/>
      <c r="AC15" s="227"/>
      <c r="AD15" s="227"/>
      <c r="AE15" s="336" t="s">
        <v>179</v>
      </c>
      <c r="AF15" s="337"/>
      <c r="AG15" s="225">
        <f t="shared" si="0"/>
        <v>1</v>
      </c>
      <c r="AH15" s="9">
        <f t="shared" si="1"/>
        <v>4</v>
      </c>
      <c r="AI15" s="122">
        <v>0</v>
      </c>
      <c r="AJ15" s="115">
        <f>'2026.11.'!AL15</f>
        <v>46370</v>
      </c>
      <c r="AK15" s="8">
        <f t="shared" si="2"/>
        <v>46364</v>
      </c>
      <c r="AL15" s="8">
        <f t="shared" si="3"/>
        <v>46404</v>
      </c>
    </row>
    <row r="16" spans="1:39" x14ac:dyDescent="0.3">
      <c r="A16" s="10">
        <v>111</v>
      </c>
      <c r="B16" s="120"/>
      <c r="C16" s="227"/>
      <c r="D16" s="235" t="s">
        <v>5</v>
      </c>
      <c r="E16" s="227" t="s">
        <v>13</v>
      </c>
      <c r="F16" s="227"/>
      <c r="G16" s="227"/>
      <c r="H16" s="227"/>
      <c r="I16" s="227"/>
      <c r="J16" s="227"/>
      <c r="K16" s="235" t="s">
        <v>5</v>
      </c>
      <c r="L16" s="227"/>
      <c r="M16" s="227"/>
      <c r="N16" s="227"/>
      <c r="O16" s="227"/>
      <c r="P16" s="35"/>
      <c r="Q16" s="35"/>
      <c r="R16" s="35" t="s">
        <v>5</v>
      </c>
      <c r="S16" s="35"/>
      <c r="T16" s="227"/>
      <c r="U16" s="227"/>
      <c r="V16" s="35"/>
      <c r="W16" s="35"/>
      <c r="X16" s="35"/>
      <c r="Y16" s="35" t="s">
        <v>5</v>
      </c>
      <c r="Z16" s="35"/>
      <c r="AA16" s="35"/>
      <c r="AB16" s="227"/>
      <c r="AC16" s="227"/>
      <c r="AD16" s="227"/>
      <c r="AE16" s="227"/>
      <c r="AF16" s="149" t="s">
        <v>5</v>
      </c>
      <c r="AG16" s="225">
        <f t="shared" si="0"/>
        <v>1</v>
      </c>
      <c r="AH16" s="9">
        <f t="shared" si="1"/>
        <v>5</v>
      </c>
      <c r="AI16" s="122">
        <v>0</v>
      </c>
      <c r="AJ16" s="115">
        <f>'2026.11.'!AL16</f>
        <v>46365</v>
      </c>
      <c r="AK16" s="8">
        <f t="shared" si="2"/>
        <v>46360</v>
      </c>
      <c r="AL16" s="8">
        <f t="shared" si="3"/>
        <v>46400</v>
      </c>
    </row>
    <row r="17" spans="1:39" x14ac:dyDescent="0.3">
      <c r="A17" s="10">
        <v>112</v>
      </c>
      <c r="B17" s="120"/>
      <c r="C17" s="35"/>
      <c r="D17" s="35"/>
      <c r="E17" s="35"/>
      <c r="F17" s="35"/>
      <c r="G17" s="35"/>
      <c r="H17" s="35" t="s">
        <v>5</v>
      </c>
      <c r="I17" s="227"/>
      <c r="J17" s="227"/>
      <c r="K17" s="227"/>
      <c r="L17" s="227"/>
      <c r="M17" s="227"/>
      <c r="N17" s="227"/>
      <c r="O17" s="235" t="s">
        <v>5</v>
      </c>
      <c r="P17" s="227"/>
      <c r="Q17" s="227"/>
      <c r="R17" s="227"/>
      <c r="S17" s="35"/>
      <c r="T17" s="35"/>
      <c r="U17" s="35"/>
      <c r="V17" s="35" t="s">
        <v>5</v>
      </c>
      <c r="W17" s="35"/>
      <c r="X17" s="35"/>
      <c r="Y17" s="35"/>
      <c r="Z17" s="35"/>
      <c r="AA17" s="35"/>
      <c r="AB17" s="235" t="s">
        <v>5</v>
      </c>
      <c r="AC17" s="227" t="s">
        <v>13</v>
      </c>
      <c r="AD17" s="227"/>
      <c r="AE17" s="227"/>
      <c r="AF17" s="149"/>
      <c r="AG17" s="225">
        <f t="shared" si="0"/>
        <v>1</v>
      </c>
      <c r="AH17" s="9">
        <f t="shared" si="1"/>
        <v>4</v>
      </c>
      <c r="AI17" s="122">
        <v>0</v>
      </c>
      <c r="AJ17" s="115">
        <f>'2026.11.'!AL17</f>
        <v>46390</v>
      </c>
      <c r="AK17" s="8">
        <f t="shared" si="2"/>
        <v>46384</v>
      </c>
      <c r="AL17" s="8">
        <f t="shared" si="3"/>
        <v>46424</v>
      </c>
      <c r="AM17" s="81"/>
    </row>
    <row r="18" spans="1:39" x14ac:dyDescent="0.3">
      <c r="A18" s="10">
        <v>113</v>
      </c>
      <c r="B18" s="120" t="s">
        <v>13</v>
      </c>
      <c r="C18" s="227"/>
      <c r="D18" s="227"/>
      <c r="E18" s="235" t="s">
        <v>10</v>
      </c>
      <c r="F18" s="35"/>
      <c r="G18" s="35"/>
      <c r="H18" s="35"/>
      <c r="I18" s="35"/>
      <c r="J18" s="35"/>
      <c r="K18" s="35"/>
      <c r="L18" s="35" t="s">
        <v>5</v>
      </c>
      <c r="M18" s="35"/>
      <c r="N18" s="35"/>
      <c r="O18" s="35"/>
      <c r="P18" s="227"/>
      <c r="Q18" s="227"/>
      <c r="R18" s="253" t="s">
        <v>72</v>
      </c>
      <c r="S18" s="254"/>
      <c r="T18" s="254"/>
      <c r="U18" s="254"/>
      <c r="V18" s="254"/>
      <c r="W18" s="249"/>
      <c r="X18" s="227" t="s">
        <v>13</v>
      </c>
      <c r="Y18" s="227"/>
      <c r="Z18" s="227"/>
      <c r="AA18" s="227"/>
      <c r="AB18" s="227"/>
      <c r="AC18" s="227"/>
      <c r="AD18" s="235" t="s">
        <v>5</v>
      </c>
      <c r="AE18" s="227"/>
      <c r="AF18" s="149"/>
      <c r="AG18" s="234">
        <f t="shared" si="0"/>
        <v>2</v>
      </c>
      <c r="AH18" s="9">
        <f t="shared" si="1"/>
        <v>3</v>
      </c>
      <c r="AI18" s="122">
        <v>0</v>
      </c>
      <c r="AJ18" s="115">
        <f>'2026.11.'!AL18</f>
        <v>46364</v>
      </c>
      <c r="AK18" s="12">
        <v>46379</v>
      </c>
      <c r="AL18" s="8">
        <f t="shared" si="3"/>
        <v>46419</v>
      </c>
    </row>
    <row r="19" spans="1:39" x14ac:dyDescent="0.3">
      <c r="A19" s="10">
        <v>114</v>
      </c>
      <c r="B19" s="140"/>
      <c r="C19" s="138" t="s">
        <v>5</v>
      </c>
      <c r="D19" s="138"/>
      <c r="E19" s="138"/>
      <c r="F19" s="227"/>
      <c r="G19" s="227"/>
      <c r="H19" s="35"/>
      <c r="I19" s="35"/>
      <c r="J19" s="35" t="s">
        <v>5</v>
      </c>
      <c r="K19" s="35"/>
      <c r="L19" s="35"/>
      <c r="M19" s="35"/>
      <c r="N19" s="35"/>
      <c r="O19" s="227"/>
      <c r="P19" s="227"/>
      <c r="Q19" s="235" t="s">
        <v>5</v>
      </c>
      <c r="R19" s="227"/>
      <c r="S19" s="227"/>
      <c r="T19" s="227"/>
      <c r="U19" s="227"/>
      <c r="V19" s="227"/>
      <c r="W19" s="227" t="s">
        <v>13</v>
      </c>
      <c r="X19" s="235" t="s">
        <v>5</v>
      </c>
      <c r="Y19" s="227"/>
      <c r="Z19" s="227"/>
      <c r="AA19" s="227"/>
      <c r="AB19" s="227"/>
      <c r="AC19" s="227"/>
      <c r="AD19" s="35"/>
      <c r="AE19" s="35" t="s">
        <v>5</v>
      </c>
      <c r="AF19" s="150"/>
      <c r="AG19" s="225">
        <f t="shared" si="0"/>
        <v>1</v>
      </c>
      <c r="AH19" s="9">
        <f t="shared" si="1"/>
        <v>5</v>
      </c>
      <c r="AI19" s="122">
        <v>0</v>
      </c>
      <c r="AJ19" s="115">
        <f>'2026.11.'!AL19</f>
        <v>46386</v>
      </c>
      <c r="AK19" s="8">
        <f t="shared" si="2"/>
        <v>46378</v>
      </c>
      <c r="AL19" s="8">
        <f t="shared" si="3"/>
        <v>46418</v>
      </c>
      <c r="AM19" s="81"/>
    </row>
    <row r="20" spans="1:39" x14ac:dyDescent="0.3">
      <c r="A20" s="10">
        <v>115</v>
      </c>
      <c r="B20" s="137"/>
      <c r="C20" s="35"/>
      <c r="D20" s="35"/>
      <c r="E20" s="35"/>
      <c r="F20" s="35"/>
      <c r="G20" s="35" t="s">
        <v>5</v>
      </c>
      <c r="H20" s="35"/>
      <c r="I20" s="35"/>
      <c r="J20" s="35"/>
      <c r="K20" s="35"/>
      <c r="L20" s="253" t="s">
        <v>178</v>
      </c>
      <c r="M20" s="254"/>
      <c r="N20" s="254"/>
      <c r="O20" s="254"/>
      <c r="P20" s="254"/>
      <c r="Q20" s="249"/>
      <c r="R20" s="35" t="s">
        <v>13</v>
      </c>
      <c r="S20" s="35"/>
      <c r="T20" s="35"/>
      <c r="U20" s="35"/>
      <c r="V20" s="35"/>
      <c r="W20" s="35"/>
      <c r="X20" s="35"/>
      <c r="Y20" s="35" t="s">
        <v>5</v>
      </c>
      <c r="Z20" s="35"/>
      <c r="AA20" s="35"/>
      <c r="AB20" s="35"/>
      <c r="AC20" s="35"/>
      <c r="AD20" s="35"/>
      <c r="AE20" s="35"/>
      <c r="AF20" s="149" t="s">
        <v>5</v>
      </c>
      <c r="AG20" s="225">
        <f t="shared" si="0"/>
        <v>1</v>
      </c>
      <c r="AH20" s="9">
        <f t="shared" si="1"/>
        <v>3</v>
      </c>
      <c r="AI20" s="122">
        <v>0</v>
      </c>
      <c r="AJ20" s="115">
        <f>'2026.11.'!AL20</f>
        <v>46392</v>
      </c>
      <c r="AK20" s="8">
        <f t="shared" si="2"/>
        <v>46373</v>
      </c>
      <c r="AL20" s="8">
        <f t="shared" si="3"/>
        <v>46413</v>
      </c>
    </row>
    <row r="21" spans="1:39" x14ac:dyDescent="0.3">
      <c r="A21" s="10">
        <v>116</v>
      </c>
      <c r="B21" s="120"/>
      <c r="C21" s="35"/>
      <c r="D21" s="35"/>
      <c r="E21" s="35"/>
      <c r="F21" s="35"/>
      <c r="G21" s="35" t="s">
        <v>5</v>
      </c>
      <c r="H21" s="35"/>
      <c r="I21" s="35"/>
      <c r="J21" s="35" t="s">
        <v>13</v>
      </c>
      <c r="K21" s="35"/>
      <c r="L21" s="35"/>
      <c r="M21" s="35"/>
      <c r="N21" s="35" t="s">
        <v>5</v>
      </c>
      <c r="O21" s="35"/>
      <c r="P21" s="35"/>
      <c r="Q21" s="35"/>
      <c r="R21" s="35"/>
      <c r="S21" s="35"/>
      <c r="T21" s="35"/>
      <c r="U21" s="35" t="s">
        <v>5</v>
      </c>
      <c r="V21" s="35"/>
      <c r="W21" s="35"/>
      <c r="X21" s="35"/>
      <c r="Y21" s="35"/>
      <c r="Z21" s="35"/>
      <c r="AA21" s="35"/>
      <c r="AB21" s="35" t="s">
        <v>5</v>
      </c>
      <c r="AC21" s="35"/>
      <c r="AD21" s="35"/>
      <c r="AE21" s="35"/>
      <c r="AF21" s="149"/>
      <c r="AG21" s="225">
        <f t="shared" si="0"/>
        <v>1</v>
      </c>
      <c r="AH21" s="9">
        <f t="shared" si="1"/>
        <v>4</v>
      </c>
      <c r="AI21" s="122">
        <v>0</v>
      </c>
      <c r="AJ21" s="115">
        <f>'2026.11.'!AL21</f>
        <v>46371</v>
      </c>
      <c r="AK21" s="8">
        <f t="shared" si="2"/>
        <v>46365</v>
      </c>
      <c r="AL21" s="8">
        <f t="shared" si="3"/>
        <v>46405</v>
      </c>
    </row>
    <row r="22" spans="1:39" x14ac:dyDescent="0.3">
      <c r="A22" s="10">
        <v>117</v>
      </c>
      <c r="B22" s="137" t="s">
        <v>5</v>
      </c>
      <c r="C22" s="35"/>
      <c r="D22" s="35"/>
      <c r="E22" s="35"/>
      <c r="F22" s="35"/>
      <c r="G22" s="35"/>
      <c r="H22" s="35"/>
      <c r="I22" s="35" t="s">
        <v>5</v>
      </c>
      <c r="J22" s="35"/>
      <c r="K22" s="35"/>
      <c r="L22" s="35"/>
      <c r="M22" s="35"/>
      <c r="N22" s="35"/>
      <c r="O22" s="35"/>
      <c r="P22" s="35" t="s">
        <v>5</v>
      </c>
      <c r="Q22" s="35"/>
      <c r="R22" s="35"/>
      <c r="S22" s="35" t="s">
        <v>13</v>
      </c>
      <c r="T22" s="35"/>
      <c r="U22" s="35"/>
      <c r="V22" s="35"/>
      <c r="W22" s="35" t="s">
        <v>5</v>
      </c>
      <c r="X22" s="35"/>
      <c r="Y22" s="35"/>
      <c r="Z22" s="35"/>
      <c r="AA22" s="35"/>
      <c r="AB22" s="35"/>
      <c r="AC22" s="35"/>
      <c r="AD22" s="35" t="s">
        <v>5</v>
      </c>
      <c r="AE22" s="35"/>
      <c r="AF22" s="149"/>
      <c r="AG22" s="225">
        <f t="shared" si="0"/>
        <v>1</v>
      </c>
      <c r="AH22" s="9">
        <f t="shared" si="1"/>
        <v>5</v>
      </c>
      <c r="AI22" s="122">
        <v>0</v>
      </c>
      <c r="AJ22" s="115">
        <f>'2026.11.'!AL22</f>
        <v>46384</v>
      </c>
      <c r="AK22" s="8">
        <f t="shared" si="2"/>
        <v>46374</v>
      </c>
      <c r="AL22" s="8">
        <f t="shared" si="3"/>
        <v>46414</v>
      </c>
      <c r="AM22" s="81"/>
    </row>
    <row r="23" spans="1:39" x14ac:dyDescent="0.3">
      <c r="A23" s="10">
        <v>118</v>
      </c>
      <c r="B23" s="137"/>
      <c r="C23" s="35"/>
      <c r="D23" s="35"/>
      <c r="E23" s="35"/>
      <c r="F23" s="35" t="s">
        <v>5</v>
      </c>
      <c r="G23" s="35"/>
      <c r="H23" s="35"/>
      <c r="I23" s="35"/>
      <c r="J23" s="35"/>
      <c r="K23" s="35"/>
      <c r="L23" s="35"/>
      <c r="M23" s="35"/>
      <c r="N23" s="35" t="s">
        <v>5</v>
      </c>
      <c r="O23" s="35"/>
      <c r="P23" s="35" t="s">
        <v>13</v>
      </c>
      <c r="Q23" s="35"/>
      <c r="R23" s="35"/>
      <c r="S23" s="35"/>
      <c r="T23" s="35"/>
      <c r="U23" s="35" t="s">
        <v>5</v>
      </c>
      <c r="V23" s="35"/>
      <c r="W23" s="35"/>
      <c r="X23" s="35"/>
      <c r="Y23" s="35"/>
      <c r="Z23" s="35"/>
      <c r="AA23" s="35" t="s">
        <v>5</v>
      </c>
      <c r="AB23" s="35"/>
      <c r="AC23" s="35"/>
      <c r="AD23" s="227"/>
      <c r="AE23" s="227"/>
      <c r="AF23" s="149"/>
      <c r="AG23" s="225">
        <f t="shared" si="0"/>
        <v>1</v>
      </c>
      <c r="AH23" s="9">
        <f t="shared" si="1"/>
        <v>4</v>
      </c>
      <c r="AI23" s="122">
        <v>0</v>
      </c>
      <c r="AJ23" s="115">
        <f>'2026.11.'!AL23</f>
        <v>46377</v>
      </c>
      <c r="AK23" s="8">
        <f t="shared" si="2"/>
        <v>46371</v>
      </c>
      <c r="AL23" s="8">
        <f t="shared" si="3"/>
        <v>46411</v>
      </c>
      <c r="AM23" s="80"/>
    </row>
    <row r="24" spans="1:39" x14ac:dyDescent="0.3">
      <c r="A24" s="10">
        <v>119</v>
      </c>
      <c r="B24" s="137"/>
      <c r="C24" s="35"/>
      <c r="D24" s="35" t="s">
        <v>5</v>
      </c>
      <c r="E24" s="35"/>
      <c r="F24" s="35"/>
      <c r="G24" s="35"/>
      <c r="H24" s="35"/>
      <c r="I24" s="35"/>
      <c r="J24" s="35"/>
      <c r="K24" s="35" t="s">
        <v>5</v>
      </c>
      <c r="L24" s="35"/>
      <c r="M24" s="35"/>
      <c r="N24" s="35"/>
      <c r="O24" s="35"/>
      <c r="P24" s="35"/>
      <c r="Q24" s="35" t="s">
        <v>5</v>
      </c>
      <c r="R24" s="35"/>
      <c r="S24" s="35"/>
      <c r="T24" s="35"/>
      <c r="U24" s="35"/>
      <c r="V24" s="35"/>
      <c r="W24" s="35"/>
      <c r="X24" s="35" t="s">
        <v>5</v>
      </c>
      <c r="Y24" s="35"/>
      <c r="Z24" s="35"/>
      <c r="AA24" s="35"/>
      <c r="AB24" s="35"/>
      <c r="AC24" s="35"/>
      <c r="AD24" s="35"/>
      <c r="AE24" s="35" t="s">
        <v>5</v>
      </c>
      <c r="AF24" s="150" t="s">
        <v>13</v>
      </c>
      <c r="AG24" s="225">
        <f t="shared" si="0"/>
        <v>1</v>
      </c>
      <c r="AH24" s="9">
        <f t="shared" si="1"/>
        <v>5</v>
      </c>
      <c r="AI24" s="122">
        <v>0</v>
      </c>
      <c r="AJ24" s="115">
        <f>'2026.11.'!AL24</f>
        <v>46393</v>
      </c>
      <c r="AK24" s="8">
        <f t="shared" si="2"/>
        <v>46387</v>
      </c>
      <c r="AL24" s="8">
        <f t="shared" si="3"/>
        <v>46427</v>
      </c>
      <c r="AM24" s="80"/>
    </row>
    <row r="25" spans="1:39" x14ac:dyDescent="0.3">
      <c r="A25" s="10">
        <v>120</v>
      </c>
      <c r="B25" s="291" t="s">
        <v>194</v>
      </c>
      <c r="C25" s="251"/>
      <c r="D25" s="251"/>
      <c r="E25" s="251"/>
      <c r="F25" s="251"/>
      <c r="G25" s="251"/>
      <c r="H25" s="251"/>
      <c r="I25" s="251"/>
      <c r="J25" s="251"/>
      <c r="K25" s="284"/>
      <c r="L25" s="35" t="s">
        <v>13</v>
      </c>
      <c r="M25" s="35"/>
      <c r="N25" s="35"/>
      <c r="O25" s="35"/>
      <c r="P25" s="35"/>
      <c r="Q25" s="35" t="s">
        <v>5</v>
      </c>
      <c r="R25" s="35"/>
      <c r="S25" s="35"/>
      <c r="T25" s="35"/>
      <c r="U25" s="35"/>
      <c r="V25" s="35"/>
      <c r="W25" s="35"/>
      <c r="X25" s="35" t="s">
        <v>5</v>
      </c>
      <c r="Y25" s="35"/>
      <c r="Z25" s="35"/>
      <c r="AA25" s="35"/>
      <c r="AB25" s="35"/>
      <c r="AC25" s="35"/>
      <c r="AD25" s="35"/>
      <c r="AE25" s="35" t="s">
        <v>5</v>
      </c>
      <c r="AF25" s="216"/>
      <c r="AG25" s="225">
        <f t="shared" si="0"/>
        <v>1</v>
      </c>
      <c r="AH25" s="9">
        <f t="shared" si="1"/>
        <v>3</v>
      </c>
      <c r="AI25" s="122">
        <v>0</v>
      </c>
      <c r="AJ25" s="115">
        <f>'2026.11.'!AL25</f>
        <v>46321</v>
      </c>
      <c r="AK25" s="8">
        <f t="shared" si="2"/>
        <v>46367</v>
      </c>
      <c r="AL25" s="8">
        <f t="shared" si="3"/>
        <v>46407</v>
      </c>
      <c r="AM25" s="81"/>
    </row>
    <row r="26" spans="1:39" x14ac:dyDescent="0.3">
      <c r="A26" s="10">
        <v>121</v>
      </c>
      <c r="B26" s="120"/>
      <c r="C26" s="235" t="s">
        <v>5</v>
      </c>
      <c r="D26" s="35"/>
      <c r="E26" s="35"/>
      <c r="F26" s="35"/>
      <c r="G26" s="35"/>
      <c r="H26" s="35"/>
      <c r="I26" s="35"/>
      <c r="J26" s="35" t="s">
        <v>5</v>
      </c>
      <c r="K26" s="35"/>
      <c r="L26" s="35"/>
      <c r="M26" s="35"/>
      <c r="N26" s="35"/>
      <c r="O26" s="35"/>
      <c r="P26" s="251" t="s">
        <v>196</v>
      </c>
      <c r="Q26" s="251"/>
      <c r="R26" s="251"/>
      <c r="S26" s="251"/>
      <c r="T26" s="251"/>
      <c r="U26" s="251"/>
      <c r="V26" s="251"/>
      <c r="W26" s="251"/>
      <c r="X26" s="251"/>
      <c r="Y26" s="251"/>
      <c r="Z26" s="251"/>
      <c r="AA26" s="251"/>
      <c r="AB26" s="251"/>
      <c r="AC26" s="251"/>
      <c r="AD26" s="251"/>
      <c r="AE26" s="251"/>
      <c r="AF26" s="308"/>
      <c r="AG26" s="225">
        <f t="shared" si="0"/>
        <v>0</v>
      </c>
      <c r="AH26" s="9">
        <f t="shared" si="1"/>
        <v>2</v>
      </c>
      <c r="AI26" s="122">
        <v>0</v>
      </c>
      <c r="AJ26" s="115">
        <f>'2026.11.'!AL26</f>
        <v>46378</v>
      </c>
      <c r="AK26" s="8" t="str">
        <f t="shared" si="2"/>
        <v/>
      </c>
      <c r="AL26" s="8">
        <f>AJ26</f>
        <v>46378</v>
      </c>
    </row>
    <row r="27" spans="1:39" x14ac:dyDescent="0.3">
      <c r="A27" s="10">
        <v>122</v>
      </c>
      <c r="B27" s="120"/>
      <c r="C27" s="227"/>
      <c r="D27" s="235" t="s">
        <v>5</v>
      </c>
      <c r="E27" s="227"/>
      <c r="F27" s="227"/>
      <c r="G27" s="227"/>
      <c r="H27" s="227"/>
      <c r="I27" s="227"/>
      <c r="J27" s="227"/>
      <c r="K27" s="235" t="s">
        <v>5</v>
      </c>
      <c r="L27" s="227"/>
      <c r="M27" s="227"/>
      <c r="N27" s="227"/>
      <c r="O27" s="227"/>
      <c r="P27" s="227"/>
      <c r="Q27" s="35"/>
      <c r="R27" s="35" t="s">
        <v>5</v>
      </c>
      <c r="S27" s="35"/>
      <c r="T27" s="35"/>
      <c r="U27" s="35"/>
      <c r="V27" s="35"/>
      <c r="W27" s="227"/>
      <c r="X27" s="253" t="s">
        <v>97</v>
      </c>
      <c r="Y27" s="254"/>
      <c r="Z27" s="254"/>
      <c r="AA27" s="254"/>
      <c r="AB27" s="254"/>
      <c r="AC27" s="254"/>
      <c r="AD27" s="249"/>
      <c r="AE27" s="227" t="s">
        <v>13</v>
      </c>
      <c r="AF27" s="149"/>
      <c r="AG27" s="225">
        <f t="shared" si="0"/>
        <v>1</v>
      </c>
      <c r="AH27" s="9">
        <f t="shared" si="1"/>
        <v>3</v>
      </c>
      <c r="AI27" s="122">
        <v>0</v>
      </c>
      <c r="AJ27" s="115">
        <f>'2026.11.'!AL27</f>
        <v>46376</v>
      </c>
      <c r="AK27" s="8">
        <f t="shared" si="2"/>
        <v>46386</v>
      </c>
      <c r="AL27" s="8">
        <f t="shared" si="3"/>
        <v>46426</v>
      </c>
    </row>
    <row r="28" spans="1:39" ht="17.25" thickBot="1" x14ac:dyDescent="0.35">
      <c r="A28" s="10">
        <v>123</v>
      </c>
      <c r="B28" s="179" t="s">
        <v>5</v>
      </c>
      <c r="C28" s="183"/>
      <c r="D28" s="183"/>
      <c r="E28" s="183"/>
      <c r="F28" s="183"/>
      <c r="G28" s="183"/>
      <c r="H28" s="183"/>
      <c r="I28" s="183" t="s">
        <v>5</v>
      </c>
      <c r="J28" s="127"/>
      <c r="K28" s="127"/>
      <c r="L28" s="127"/>
      <c r="M28" s="127"/>
      <c r="N28" s="127"/>
      <c r="O28" s="183"/>
      <c r="P28" s="183" t="s">
        <v>5</v>
      </c>
      <c r="Q28" s="183"/>
      <c r="R28" s="183"/>
      <c r="S28" s="183"/>
      <c r="T28" s="183"/>
      <c r="U28" s="183"/>
      <c r="V28" s="127"/>
      <c r="W28" s="127" t="s">
        <v>5</v>
      </c>
      <c r="X28" s="127"/>
      <c r="Y28" s="127" t="s">
        <v>13</v>
      </c>
      <c r="Z28" s="127"/>
      <c r="AA28" s="127"/>
      <c r="AB28" s="127"/>
      <c r="AC28" s="127" t="s">
        <v>5</v>
      </c>
      <c r="AD28" s="127"/>
      <c r="AE28" s="127"/>
      <c r="AF28" s="180"/>
      <c r="AG28" s="128">
        <f t="shared" si="0"/>
        <v>1</v>
      </c>
      <c r="AH28" s="184">
        <f t="shared" si="1"/>
        <v>5</v>
      </c>
      <c r="AI28" s="185">
        <v>0</v>
      </c>
      <c r="AJ28" s="115">
        <f>'2026.11.'!AL28</f>
        <v>46389</v>
      </c>
      <c r="AK28" s="8">
        <f t="shared" si="2"/>
        <v>46380</v>
      </c>
      <c r="AL28" s="8">
        <f t="shared" si="3"/>
        <v>46420</v>
      </c>
    </row>
    <row r="29" spans="1:39" x14ac:dyDescent="0.3">
      <c r="A29" s="10" t="s">
        <v>10</v>
      </c>
      <c r="B29" s="118">
        <f>COUNTIF(B6:B28,"7D")</f>
        <v>3</v>
      </c>
      <c r="C29" s="18">
        <f t="shared" ref="C29:AF29" si="4">COUNTIF(C6:C28,"7D")</f>
        <v>3</v>
      </c>
      <c r="D29" s="18">
        <f t="shared" si="4"/>
        <v>3</v>
      </c>
      <c r="E29" s="18">
        <f t="shared" si="4"/>
        <v>3</v>
      </c>
      <c r="F29" s="18">
        <f t="shared" si="4"/>
        <v>3</v>
      </c>
      <c r="G29" s="18">
        <f t="shared" si="4"/>
        <v>3</v>
      </c>
      <c r="H29" s="18">
        <f t="shared" si="4"/>
        <v>3</v>
      </c>
      <c r="I29" s="18">
        <f t="shared" si="4"/>
        <v>3</v>
      </c>
      <c r="J29" s="18">
        <f t="shared" si="4"/>
        <v>2</v>
      </c>
      <c r="K29" s="18">
        <f t="shared" si="4"/>
        <v>3</v>
      </c>
      <c r="L29" s="18">
        <f t="shared" si="4"/>
        <v>3</v>
      </c>
      <c r="M29" s="18">
        <f t="shared" si="4"/>
        <v>3</v>
      </c>
      <c r="N29" s="18">
        <f t="shared" si="4"/>
        <v>3</v>
      </c>
      <c r="O29" s="18">
        <f t="shared" si="4"/>
        <v>3</v>
      </c>
      <c r="P29" s="18">
        <f t="shared" si="4"/>
        <v>3</v>
      </c>
      <c r="Q29" s="18">
        <f t="shared" si="4"/>
        <v>3</v>
      </c>
      <c r="R29" s="18">
        <f t="shared" si="4"/>
        <v>3</v>
      </c>
      <c r="S29" s="18">
        <f t="shared" si="4"/>
        <v>2</v>
      </c>
      <c r="T29" s="18">
        <f t="shared" si="4"/>
        <v>3</v>
      </c>
      <c r="U29" s="18">
        <f t="shared" si="4"/>
        <v>3</v>
      </c>
      <c r="V29" s="18">
        <f t="shared" si="4"/>
        <v>3</v>
      </c>
      <c r="W29" s="18">
        <f t="shared" si="4"/>
        <v>3</v>
      </c>
      <c r="X29" s="18">
        <f t="shared" si="4"/>
        <v>3</v>
      </c>
      <c r="Y29" s="18">
        <f t="shared" si="4"/>
        <v>3</v>
      </c>
      <c r="Z29" s="18">
        <f t="shared" si="4"/>
        <v>3</v>
      </c>
      <c r="AA29" s="18">
        <f t="shared" si="4"/>
        <v>3</v>
      </c>
      <c r="AB29" s="18">
        <f t="shared" si="4"/>
        <v>3</v>
      </c>
      <c r="AC29" s="18">
        <f t="shared" si="4"/>
        <v>3</v>
      </c>
      <c r="AD29" s="18">
        <f t="shared" si="4"/>
        <v>3</v>
      </c>
      <c r="AE29" s="18">
        <f t="shared" si="4"/>
        <v>3</v>
      </c>
      <c r="AF29" s="151">
        <f t="shared" si="4"/>
        <v>3</v>
      </c>
      <c r="AG29" s="221"/>
      <c r="AH29" s="181">
        <f>SUM(B29:AF29)</f>
        <v>91</v>
      </c>
      <c r="AI29" s="182"/>
      <c r="AJ29" s="2"/>
      <c r="AK29" s="8" t="str">
        <f t="shared" ref="AK29" si="5">IFERROR(INDEX($B$3:$AF$5,1,MATCH("청",B29:AF29,0)),"")</f>
        <v/>
      </c>
      <c r="AL29" s="1"/>
    </row>
    <row r="30" spans="1:39" x14ac:dyDescent="0.3">
      <c r="A30" s="10" t="s">
        <v>6</v>
      </c>
      <c r="B30" s="120">
        <v>1</v>
      </c>
      <c r="C30" s="227">
        <v>1</v>
      </c>
      <c r="D30" s="227">
        <v>1</v>
      </c>
      <c r="E30" s="227">
        <v>1</v>
      </c>
      <c r="F30" s="227">
        <v>0</v>
      </c>
      <c r="G30" s="227">
        <v>0</v>
      </c>
      <c r="H30" s="227">
        <v>1</v>
      </c>
      <c r="I30" s="227">
        <v>1</v>
      </c>
      <c r="J30" s="227">
        <v>1</v>
      </c>
      <c r="K30" s="227">
        <v>1</v>
      </c>
      <c r="L30" s="227">
        <v>1</v>
      </c>
      <c r="M30" s="227">
        <v>0</v>
      </c>
      <c r="N30" s="227">
        <v>0</v>
      </c>
      <c r="O30" s="227">
        <v>1</v>
      </c>
      <c r="P30" s="227">
        <v>1</v>
      </c>
      <c r="Q30" s="227">
        <v>1</v>
      </c>
      <c r="R30" s="227">
        <v>1</v>
      </c>
      <c r="S30" s="227">
        <v>1</v>
      </c>
      <c r="T30" s="227">
        <v>0</v>
      </c>
      <c r="U30" s="227">
        <v>0</v>
      </c>
      <c r="V30" s="227">
        <v>1</v>
      </c>
      <c r="W30" s="227">
        <v>1</v>
      </c>
      <c r="X30" s="227">
        <v>1</v>
      </c>
      <c r="Y30" s="227">
        <v>1</v>
      </c>
      <c r="Z30" s="227">
        <v>0</v>
      </c>
      <c r="AA30" s="227">
        <v>0</v>
      </c>
      <c r="AB30" s="227">
        <v>0</v>
      </c>
      <c r="AC30" s="227">
        <v>1</v>
      </c>
      <c r="AD30" s="227">
        <v>1</v>
      </c>
      <c r="AE30" s="227">
        <v>1</v>
      </c>
      <c r="AF30" s="149">
        <v>1</v>
      </c>
      <c r="AG30" s="225"/>
      <c r="AH30" s="220"/>
      <c r="AI30" s="224">
        <f>SUM(B30:AF30)</f>
        <v>22</v>
      </c>
      <c r="AJ30" s="2"/>
      <c r="AK30" s="1"/>
      <c r="AL30" s="1"/>
    </row>
    <row r="31" spans="1:39" ht="17.25" thickBot="1" x14ac:dyDescent="0.35">
      <c r="A31" s="10" t="s">
        <v>12</v>
      </c>
      <c r="B31" s="179">
        <f>COUNTIF(B6:B28,"청")</f>
        <v>1</v>
      </c>
      <c r="C31" s="127">
        <f t="shared" ref="C31:AF31" si="6">COUNTIF(C6:C28,"청")</f>
        <v>1</v>
      </c>
      <c r="D31" s="127">
        <f t="shared" si="6"/>
        <v>1</v>
      </c>
      <c r="E31" s="127">
        <f t="shared" si="6"/>
        <v>1</v>
      </c>
      <c r="F31" s="127">
        <f t="shared" si="6"/>
        <v>0</v>
      </c>
      <c r="G31" s="127">
        <f t="shared" si="6"/>
        <v>0</v>
      </c>
      <c r="H31" s="127">
        <f t="shared" si="6"/>
        <v>1</v>
      </c>
      <c r="I31" s="127">
        <f t="shared" si="6"/>
        <v>1</v>
      </c>
      <c r="J31" s="127">
        <f t="shared" si="6"/>
        <v>1</v>
      </c>
      <c r="K31" s="127">
        <f t="shared" si="6"/>
        <v>1</v>
      </c>
      <c r="L31" s="127">
        <f t="shared" si="6"/>
        <v>1</v>
      </c>
      <c r="M31" s="127">
        <f t="shared" si="6"/>
        <v>0</v>
      </c>
      <c r="N31" s="127">
        <f t="shared" si="6"/>
        <v>0</v>
      </c>
      <c r="O31" s="127">
        <f t="shared" si="6"/>
        <v>1</v>
      </c>
      <c r="P31" s="127">
        <f t="shared" si="6"/>
        <v>1</v>
      </c>
      <c r="Q31" s="127">
        <f t="shared" si="6"/>
        <v>1</v>
      </c>
      <c r="R31" s="127">
        <f t="shared" si="6"/>
        <v>1</v>
      </c>
      <c r="S31" s="127">
        <f t="shared" si="6"/>
        <v>1</v>
      </c>
      <c r="T31" s="127">
        <f t="shared" si="6"/>
        <v>0</v>
      </c>
      <c r="U31" s="127">
        <f t="shared" si="6"/>
        <v>0</v>
      </c>
      <c r="V31" s="127">
        <f t="shared" si="6"/>
        <v>1</v>
      </c>
      <c r="W31" s="127">
        <f t="shared" si="6"/>
        <v>1</v>
      </c>
      <c r="X31" s="127">
        <f t="shared" si="6"/>
        <v>1</v>
      </c>
      <c r="Y31" s="127">
        <f t="shared" si="6"/>
        <v>1</v>
      </c>
      <c r="Z31" s="127">
        <f t="shared" si="6"/>
        <v>0</v>
      </c>
      <c r="AA31" s="127">
        <f t="shared" si="6"/>
        <v>0</v>
      </c>
      <c r="AB31" s="127">
        <f t="shared" si="6"/>
        <v>0</v>
      </c>
      <c r="AC31" s="127">
        <f t="shared" si="6"/>
        <v>1</v>
      </c>
      <c r="AD31" s="127">
        <f t="shared" si="6"/>
        <v>1</v>
      </c>
      <c r="AE31" s="127">
        <f t="shared" si="6"/>
        <v>1</v>
      </c>
      <c r="AF31" s="180">
        <f t="shared" si="6"/>
        <v>1</v>
      </c>
      <c r="AG31" s="128"/>
      <c r="AH31" s="278">
        <f>SUM(B31:AF31)</f>
        <v>22</v>
      </c>
      <c r="AI31" s="279"/>
      <c r="AJ31" s="2"/>
      <c r="AK31" s="1"/>
      <c r="AL31" s="1"/>
    </row>
    <row r="32" spans="1:39" x14ac:dyDescent="0.3">
      <c r="A32" s="17"/>
      <c r="B32" s="17"/>
      <c r="C32" s="85"/>
      <c r="D32" s="105"/>
      <c r="E32" s="86"/>
      <c r="F32" s="106"/>
      <c r="G32" s="34"/>
      <c r="H32" s="34"/>
      <c r="I32" s="34"/>
      <c r="J32" s="34"/>
      <c r="K32" s="87"/>
      <c r="T32" s="83"/>
      <c r="AA32" s="34"/>
      <c r="AB32" s="82"/>
      <c r="AD32" s="83"/>
      <c r="AE32" s="83"/>
    </row>
    <row r="34" spans="1:24" x14ac:dyDescent="0.3">
      <c r="A34" s="17"/>
      <c r="B34" s="245" t="s">
        <v>71</v>
      </c>
      <c r="C34" s="245"/>
      <c r="D34" s="245"/>
      <c r="E34" s="246">
        <v>46381</v>
      </c>
      <c r="F34" s="246"/>
      <c r="G34" s="246"/>
      <c r="H34" s="247">
        <v>46381</v>
      </c>
      <c r="I34" s="247"/>
      <c r="J34" s="247"/>
    </row>
    <row r="35" spans="1:24" x14ac:dyDescent="0.3">
      <c r="A35" s="17"/>
      <c r="B35" s="328"/>
      <c r="C35" s="328"/>
      <c r="D35" s="328"/>
      <c r="E35" s="329"/>
      <c r="F35" s="329"/>
      <c r="G35" s="329"/>
      <c r="H35" s="330"/>
      <c r="I35" s="330"/>
      <c r="J35" s="330"/>
      <c r="X35" t="s">
        <v>185</v>
      </c>
    </row>
    <row r="36" spans="1:24" ht="26.25" x14ac:dyDescent="0.3">
      <c r="A36" s="17"/>
      <c r="B36" s="328"/>
      <c r="C36" s="328"/>
      <c r="D36" s="328"/>
      <c r="E36" s="329"/>
      <c r="F36" s="329"/>
      <c r="G36" s="329"/>
      <c r="H36" s="330"/>
      <c r="I36" s="330"/>
      <c r="J36" s="330"/>
      <c r="X36" s="217" t="s">
        <v>192</v>
      </c>
    </row>
    <row r="37" spans="1:24" x14ac:dyDescent="0.3">
      <c r="B37" s="328"/>
      <c r="C37" s="328"/>
      <c r="D37" s="328"/>
      <c r="E37" s="329"/>
      <c r="F37" s="329"/>
      <c r="G37" s="329"/>
      <c r="H37" s="330"/>
      <c r="I37" s="330"/>
      <c r="J37" s="330"/>
      <c r="M37" s="17"/>
      <c r="N37" s="135"/>
      <c r="O37" s="136"/>
    </row>
    <row r="38" spans="1:24" x14ac:dyDescent="0.3">
      <c r="B38" s="328"/>
      <c r="C38" s="328"/>
      <c r="D38" s="328"/>
      <c r="E38" s="294"/>
      <c r="F38" s="294"/>
      <c r="G38" s="294"/>
      <c r="H38" s="295"/>
      <c r="I38" s="295"/>
      <c r="J38" s="295"/>
      <c r="M38" s="17"/>
      <c r="N38" s="135"/>
      <c r="O38" s="136"/>
      <c r="X38" t="s">
        <v>184</v>
      </c>
    </row>
    <row r="39" spans="1:24" ht="26.25" x14ac:dyDescent="0.3">
      <c r="B39" s="328"/>
      <c r="C39" s="328"/>
      <c r="D39" s="328"/>
      <c r="E39" s="294"/>
      <c r="F39" s="294"/>
      <c r="G39" s="294"/>
      <c r="H39" s="295"/>
      <c r="I39" s="295"/>
      <c r="J39" s="295"/>
      <c r="X39" s="84" t="s">
        <v>191</v>
      </c>
    </row>
    <row r="41" spans="1:24" x14ac:dyDescent="0.3">
      <c r="S41" t="s">
        <v>180</v>
      </c>
    </row>
  </sheetData>
  <mergeCells count="62">
    <mergeCell ref="X27:AD27"/>
    <mergeCell ref="AE15:AF15"/>
    <mergeCell ref="B38:D38"/>
    <mergeCell ref="E38:G38"/>
    <mergeCell ref="H38:J38"/>
    <mergeCell ref="B25:K25"/>
    <mergeCell ref="P26:AF26"/>
    <mergeCell ref="B39:D39"/>
    <mergeCell ref="E39:G39"/>
    <mergeCell ref="H39:J39"/>
    <mergeCell ref="B36:D36"/>
    <mergeCell ref="E36:G36"/>
    <mergeCell ref="H36:J36"/>
    <mergeCell ref="B37:D37"/>
    <mergeCell ref="E37:G37"/>
    <mergeCell ref="H37:J37"/>
    <mergeCell ref="AH31:AI31"/>
    <mergeCell ref="B34:D34"/>
    <mergeCell ref="E34:G34"/>
    <mergeCell ref="H34:J34"/>
    <mergeCell ref="B35:D35"/>
    <mergeCell ref="E35:G35"/>
    <mergeCell ref="H35:J35"/>
    <mergeCell ref="AG3:AI4"/>
    <mergeCell ref="B9:E9"/>
    <mergeCell ref="H12:K12"/>
    <mergeCell ref="L20:Q20"/>
    <mergeCell ref="AA3:AA4"/>
    <mergeCell ref="AB3:AB4"/>
    <mergeCell ref="AC3:AC4"/>
    <mergeCell ref="AD3:AD4"/>
    <mergeCell ref="AE3:AE4"/>
    <mergeCell ref="AF3:AF4"/>
    <mergeCell ref="U3:U4"/>
    <mergeCell ref="V3:V4"/>
    <mergeCell ref="W3:W4"/>
    <mergeCell ref="X3:X4"/>
    <mergeCell ref="Y3:Y4"/>
    <mergeCell ref="R18:W18"/>
    <mergeCell ref="Z3:Z4"/>
    <mergeCell ref="O3:O4"/>
    <mergeCell ref="P3:P4"/>
    <mergeCell ref="Q3:Q4"/>
    <mergeCell ref="R3:R4"/>
    <mergeCell ref="S3:S4"/>
    <mergeCell ref="T3:T4"/>
    <mergeCell ref="N3:N4"/>
    <mergeCell ref="A1:AI1"/>
    <mergeCell ref="A2:AI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3" type="noConversion"/>
  <conditionalFormatting sqref="B3:AF8 B9 F9:AF9 B10:AF11 B12:H12 L12:AF12 B13:AF14 B15:AE15 B16:AF17 B18:R18 X18:AF18 B19:AF19 B20:L20 R20:AF20 B21:AF24 B25 L25:AF25 B26:O26 B27:X27 AE27:AF27 B28:AF31">
    <cfRule type="expression" dxfId="0" priority="1">
      <formula>-OR(WEEKDAY(B$3,1)=7,WEEKDAY(B$3,1)=1,B$3=$E$34:$G$39)</formula>
    </cfRule>
  </conditionalFormatting>
  <pageMargins left="0.25" right="0.25" top="0.75" bottom="0.75" header="0.3" footer="0.3"/>
  <pageSetup paperSize="9" scale="68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1519F-D7EA-4E18-92AB-26BB5876C74E}">
  <dimension ref="A1:G19"/>
  <sheetViews>
    <sheetView workbookViewId="0">
      <selection activeCell="P27" sqref="P27"/>
    </sheetView>
  </sheetViews>
  <sheetFormatPr defaultRowHeight="16.5" x14ac:dyDescent="0.3"/>
  <cols>
    <col min="1" max="1" width="12.375" bestFit="1" customWidth="1"/>
  </cols>
  <sheetData>
    <row r="1" spans="1:7" x14ac:dyDescent="0.3">
      <c r="A1" s="338" t="s">
        <v>131</v>
      </c>
      <c r="B1" s="338"/>
      <c r="C1" s="338"/>
      <c r="D1" s="338"/>
      <c r="E1" s="338"/>
      <c r="F1" s="338"/>
      <c r="G1" s="338"/>
    </row>
    <row r="2" spans="1:7" x14ac:dyDescent="0.3">
      <c r="B2" s="226" t="s">
        <v>14</v>
      </c>
      <c r="C2" s="226" t="s">
        <v>15</v>
      </c>
      <c r="D2" s="226" t="s">
        <v>16</v>
      </c>
      <c r="E2" s="226" t="s">
        <v>17</v>
      </c>
      <c r="F2" s="226" t="s">
        <v>18</v>
      </c>
      <c r="G2" s="226" t="s">
        <v>19</v>
      </c>
    </row>
    <row r="3" spans="1:7" x14ac:dyDescent="0.3">
      <c r="A3" t="s">
        <v>49</v>
      </c>
      <c r="B3" s="226" t="s">
        <v>10</v>
      </c>
      <c r="C3" s="226">
        <v>262</v>
      </c>
      <c r="D3" s="226">
        <v>262</v>
      </c>
      <c r="E3" s="226">
        <v>268</v>
      </c>
      <c r="F3" s="226">
        <v>264</v>
      </c>
      <c r="G3" s="226">
        <f>SUM(C3:F3)</f>
        <v>1056</v>
      </c>
    </row>
    <row r="4" spans="1:7" x14ac:dyDescent="0.3">
      <c r="A4" t="s">
        <v>48</v>
      </c>
      <c r="B4" s="226" t="s">
        <v>11</v>
      </c>
      <c r="C4" s="226">
        <v>60</v>
      </c>
      <c r="D4" s="226">
        <v>59</v>
      </c>
      <c r="E4" s="226">
        <v>60</v>
      </c>
      <c r="F4" s="226">
        <v>61</v>
      </c>
      <c r="G4" s="226">
        <f>SUM(C4:F4)</f>
        <v>240</v>
      </c>
    </row>
    <row r="5" spans="1:7" x14ac:dyDescent="0.3">
      <c r="A5" t="s">
        <v>50</v>
      </c>
      <c r="B5" s="226" t="s">
        <v>12</v>
      </c>
      <c r="C5" s="226">
        <v>60</v>
      </c>
      <c r="D5" s="226">
        <v>58</v>
      </c>
      <c r="E5" s="226">
        <v>62</v>
      </c>
      <c r="F5" s="226">
        <v>61</v>
      </c>
      <c r="G5" s="226">
        <f>SUM(C5:F5)</f>
        <v>241</v>
      </c>
    </row>
    <row r="6" spans="1:7" x14ac:dyDescent="0.3">
      <c r="D6" s="33"/>
    </row>
    <row r="8" spans="1:7" x14ac:dyDescent="0.3">
      <c r="A8" s="339" t="s">
        <v>132</v>
      </c>
      <c r="B8" s="339"/>
      <c r="C8" s="339"/>
      <c r="D8" s="339"/>
      <c r="E8" s="339"/>
      <c r="F8" s="339"/>
      <c r="G8" s="339"/>
    </row>
    <row r="9" spans="1:7" x14ac:dyDescent="0.3">
      <c r="B9" s="226" t="s">
        <v>14</v>
      </c>
      <c r="C9" s="226" t="s">
        <v>15</v>
      </c>
      <c r="D9" s="226" t="s">
        <v>16</v>
      </c>
      <c r="E9" s="226" t="s">
        <v>17</v>
      </c>
      <c r="F9" s="226" t="s">
        <v>18</v>
      </c>
      <c r="G9" s="226" t="s">
        <v>19</v>
      </c>
    </row>
    <row r="10" spans="1:7" x14ac:dyDescent="0.3">
      <c r="A10" t="s">
        <v>49</v>
      </c>
      <c r="B10" s="226" t="s">
        <v>10</v>
      </c>
      <c r="C10" s="226">
        <f>'[1]2025.1.'!AH29+'[1]2025.2.'!AH29+'[1]2025.3.'!AH29</f>
        <v>262</v>
      </c>
      <c r="D10" s="226">
        <f>'[1]2025.4.'!AH29+'[1]2025.5.'!AH29+'[1]2025.6.'!AH29</f>
        <v>264</v>
      </c>
      <c r="E10" s="226">
        <f>'[1]2025.7.'!AH29+'[1]2025.8.'!AH29+'[1]2025.9.'!AH29</f>
        <v>272</v>
      </c>
      <c r="F10" s="226">
        <f>'[1]2025.10.'!AH29+'[1]2025.11.'!AH29+'[1]2025.12.'!AH29</f>
        <v>271</v>
      </c>
      <c r="G10" s="226">
        <f>SUM(C10:F10)</f>
        <v>1069</v>
      </c>
    </row>
    <row r="11" spans="1:7" x14ac:dyDescent="0.3">
      <c r="A11" t="s">
        <v>48</v>
      </c>
      <c r="B11" s="226" t="s">
        <v>11</v>
      </c>
      <c r="C11" s="226">
        <f>'[1]2025.1.'!AI30+'[1]2025.2.'!AI30+'[1]2025.3.'!AI30</f>
        <v>58</v>
      </c>
      <c r="D11" s="226">
        <f>'[1]2025.4.'!AI30+'[1]2025.5.'!AI30+'[1]2025.6.'!AI30</f>
        <v>59</v>
      </c>
      <c r="E11" s="226">
        <f>'[1]2025.7.'!AI30+'[1]2025.8.'!AI30+'[1]2025.9.'!AI30</f>
        <v>65</v>
      </c>
      <c r="F11" s="226">
        <f>'[1]2025.10.'!AI30+'[1]2025.11.'!AI30+'[1]2025.12.'!AI30</f>
        <v>57</v>
      </c>
      <c r="G11" s="226">
        <f>SUM(C11:F11)</f>
        <v>239</v>
      </c>
    </row>
    <row r="12" spans="1:7" x14ac:dyDescent="0.3">
      <c r="A12" t="s">
        <v>50</v>
      </c>
      <c r="B12" s="226" t="s">
        <v>12</v>
      </c>
      <c r="C12" s="226">
        <f>'[1]2025.1.'!AH31+'[1]2025.2.'!AH31+'[1]2025.3.'!AH31</f>
        <v>58</v>
      </c>
      <c r="D12" s="226">
        <f>'[1]2025.4.'!AH31+'[1]2025.5.'!AH31+'[1]2025.6.'!AH31</f>
        <v>58</v>
      </c>
      <c r="E12" s="226">
        <f>'[1]2025.7.'!AH31+'[1]2025.8.'!AH31+'[1]2025.9.'!AH31</f>
        <v>65</v>
      </c>
      <c r="F12" s="226">
        <f>'[1]2025.10.'!AH31+'[1]2025.11.'!AH31+'[1]2025.12.'!AH31</f>
        <v>58</v>
      </c>
      <c r="G12" s="226">
        <f>SUM(C12:F12)</f>
        <v>239</v>
      </c>
    </row>
    <row r="15" spans="1:7" x14ac:dyDescent="0.3">
      <c r="A15" s="340" t="s">
        <v>181</v>
      </c>
      <c r="B15" s="340"/>
      <c r="C15" s="340"/>
      <c r="D15" s="340"/>
      <c r="E15" s="340"/>
      <c r="F15" s="340"/>
      <c r="G15" s="340"/>
    </row>
    <row r="16" spans="1:7" x14ac:dyDescent="0.3">
      <c r="B16" s="226" t="s">
        <v>14</v>
      </c>
      <c r="C16" s="226" t="s">
        <v>15</v>
      </c>
      <c r="D16" s="226" t="s">
        <v>16</v>
      </c>
      <c r="E16" s="226" t="s">
        <v>17</v>
      </c>
      <c r="F16" s="226" t="s">
        <v>18</v>
      </c>
      <c r="G16" s="226" t="s">
        <v>19</v>
      </c>
    </row>
    <row r="17" spans="1:7" x14ac:dyDescent="0.3">
      <c r="A17" t="s">
        <v>49</v>
      </c>
      <c r="B17" s="226" t="s">
        <v>10</v>
      </c>
      <c r="C17" s="226">
        <f>'2026.1.'!AH29+'2026.2.'!AH29+'2026.3.'!AH29</f>
        <v>261</v>
      </c>
      <c r="D17" s="226">
        <f>'2026.4.'!AH29+'2026.5.'!AH29+'2026.6.'!AH29</f>
        <v>265</v>
      </c>
      <c r="E17" s="226">
        <f>'2026.7.'!AH29+'2026.8.'!AH29+'2026.9.'!AH29</f>
        <v>268</v>
      </c>
      <c r="F17" s="226">
        <f>'2026.10.'!AH29+'2026.11.'!AH29+'2026.12.'!AH29</f>
        <v>270</v>
      </c>
      <c r="G17" s="226">
        <f>SUM(C17:F17)</f>
        <v>1064</v>
      </c>
    </row>
    <row r="18" spans="1:7" x14ac:dyDescent="0.3">
      <c r="A18" t="s">
        <v>48</v>
      </c>
      <c r="B18" s="226" t="s">
        <v>11</v>
      </c>
      <c r="C18" s="226">
        <f>'2026.1.'!AI30+'2026.2.'!AI30+'2026.3.'!AI30</f>
        <v>58</v>
      </c>
      <c r="D18" s="226">
        <f>'2026.4.'!AI30+'2026.5.'!AI30+'2026.6.'!AI30</f>
        <v>58</v>
      </c>
      <c r="E18" s="226">
        <f>'2026.7.'!AI30+'2026.8.'!AI30+'2026.9.'!AI30</f>
        <v>62</v>
      </c>
      <c r="F18" s="226">
        <f>'2026.10.'!AI30+'2026.11.'!AI30+'2026.12.'!AI30</f>
        <v>61</v>
      </c>
      <c r="G18" s="226">
        <f>SUM(C18:F18)</f>
        <v>239</v>
      </c>
    </row>
    <row r="19" spans="1:7" x14ac:dyDescent="0.3">
      <c r="A19" t="s">
        <v>50</v>
      </c>
      <c r="B19" s="226" t="s">
        <v>12</v>
      </c>
      <c r="C19" s="226">
        <f>'2026.1.'!AH31+'2026.2.'!AH31+'2026.3.'!AH31</f>
        <v>58</v>
      </c>
      <c r="D19" s="226">
        <f>'2026.4.'!AH31+'2026.5.'!AH31+'2026.6.'!AH31</f>
        <v>59</v>
      </c>
      <c r="E19" s="226">
        <f>'2026.7.'!AH31+'2026.8.'!AH31+'2026.9.'!AH31</f>
        <v>62</v>
      </c>
      <c r="F19" s="226">
        <f>'2026.10.'!AH31+'2026.11.'!AH31+'2026.12.'!AH31</f>
        <v>61</v>
      </c>
      <c r="G19" s="226">
        <f>SUM(C19:F19)</f>
        <v>240</v>
      </c>
    </row>
  </sheetData>
  <mergeCells count="3">
    <mergeCell ref="A1:G1"/>
    <mergeCell ref="A8:G8"/>
    <mergeCell ref="A15:G15"/>
  </mergeCells>
  <phoneticPr fontId="3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E0B3E-4927-4FB4-8CB9-9B047724EB81}">
  <dimension ref="A1:Y41"/>
  <sheetViews>
    <sheetView zoomScale="80" zoomScaleNormal="80" workbookViewId="0">
      <selection activeCell="Z33" sqref="Z33"/>
    </sheetView>
  </sheetViews>
  <sheetFormatPr defaultRowHeight="16.5" x14ac:dyDescent="0.3"/>
  <cols>
    <col min="1" max="3" width="2.375" customWidth="1"/>
    <col min="5" max="5" width="24.375" bestFit="1" customWidth="1"/>
    <col min="6" max="6" width="21.5" bestFit="1" customWidth="1"/>
  </cols>
  <sheetData>
    <row r="1" spans="1:25" ht="9" customHeight="1" x14ac:dyDescent="0.3">
      <c r="S1" s="226"/>
    </row>
    <row r="2" spans="1:25" ht="17.25" thickBot="1" x14ac:dyDescent="0.35">
      <c r="B2" s="229"/>
      <c r="C2" s="230"/>
      <c r="D2" s="341" t="s">
        <v>181</v>
      </c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  <c r="R2" s="342"/>
      <c r="S2" s="226"/>
    </row>
    <row r="3" spans="1:25" x14ac:dyDescent="0.3">
      <c r="B3" s="226"/>
      <c r="D3" s="343" t="s">
        <v>31</v>
      </c>
      <c r="E3" s="344"/>
      <c r="F3" s="20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3"/>
      <c r="S3" s="226"/>
    </row>
    <row r="4" spans="1:25" x14ac:dyDescent="0.3">
      <c r="D4" s="345"/>
      <c r="E4" s="346"/>
      <c r="F4" s="15"/>
      <c r="G4" s="222" t="s">
        <v>137</v>
      </c>
      <c r="H4" s="222" t="s">
        <v>137</v>
      </c>
      <c r="I4" s="222" t="s">
        <v>137</v>
      </c>
      <c r="J4" s="222" t="s">
        <v>110</v>
      </c>
      <c r="K4" s="222"/>
      <c r="L4" s="222"/>
      <c r="M4" s="222"/>
      <c r="N4" s="222"/>
      <c r="O4" s="222"/>
      <c r="P4" s="222"/>
      <c r="Q4" s="222"/>
      <c r="R4" s="54"/>
      <c r="S4" s="226" t="s">
        <v>111</v>
      </c>
    </row>
    <row r="5" spans="1:25" ht="17.25" x14ac:dyDescent="0.3">
      <c r="A5" s="21"/>
      <c r="B5" s="21"/>
      <c r="C5" s="21"/>
      <c r="D5" s="345"/>
      <c r="E5" s="346"/>
      <c r="F5" s="15" t="s">
        <v>102</v>
      </c>
      <c r="G5" s="55">
        <v>1</v>
      </c>
      <c r="H5" s="55">
        <v>1</v>
      </c>
      <c r="I5" s="55">
        <v>1</v>
      </c>
      <c r="J5" s="55">
        <v>2</v>
      </c>
      <c r="K5" s="55">
        <v>2</v>
      </c>
      <c r="L5" s="55">
        <v>2</v>
      </c>
      <c r="M5" s="55">
        <v>2</v>
      </c>
      <c r="N5" s="55">
        <v>2</v>
      </c>
      <c r="O5" s="55">
        <v>2</v>
      </c>
      <c r="P5" s="55">
        <v>1</v>
      </c>
      <c r="Q5" s="55">
        <v>1</v>
      </c>
      <c r="R5" s="56">
        <v>1</v>
      </c>
      <c r="S5" s="231">
        <f>SUM(G5:R5)</f>
        <v>18</v>
      </c>
      <c r="T5" s="232"/>
      <c r="U5" s="89" t="s">
        <v>186</v>
      </c>
      <c r="V5" s="21"/>
      <c r="W5" s="21"/>
      <c r="X5" s="21"/>
      <c r="Y5" s="21"/>
    </row>
    <row r="6" spans="1:25" x14ac:dyDescent="0.3">
      <c r="D6" s="345"/>
      <c r="E6" s="346"/>
      <c r="F6" s="15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54"/>
      <c r="S6" s="226"/>
    </row>
    <row r="7" spans="1:25" ht="20.25" x14ac:dyDescent="0.3">
      <c r="D7" s="345"/>
      <c r="E7" s="346"/>
      <c r="F7" s="23"/>
      <c r="G7" s="24" t="s">
        <v>32</v>
      </c>
      <c r="H7" s="24" t="s">
        <v>20</v>
      </c>
      <c r="I7" s="24" t="s">
        <v>21</v>
      </c>
      <c r="J7" s="24" t="s">
        <v>22</v>
      </c>
      <c r="K7" s="24" t="s">
        <v>23</v>
      </c>
      <c r="L7" s="24" t="s">
        <v>24</v>
      </c>
      <c r="M7" s="24" t="s">
        <v>25</v>
      </c>
      <c r="N7" s="24" t="s">
        <v>26</v>
      </c>
      <c r="O7" s="24" t="s">
        <v>27</v>
      </c>
      <c r="P7" s="24" t="s">
        <v>28</v>
      </c>
      <c r="Q7" s="24" t="s">
        <v>29</v>
      </c>
      <c r="R7" s="57" t="s">
        <v>30</v>
      </c>
      <c r="S7" s="226"/>
    </row>
    <row r="8" spans="1:25" x14ac:dyDescent="0.3">
      <c r="D8" s="345"/>
      <c r="E8" s="346"/>
      <c r="F8" s="88" t="s">
        <v>135</v>
      </c>
      <c r="G8" s="222">
        <v>5</v>
      </c>
      <c r="H8" s="222">
        <v>4</v>
      </c>
      <c r="I8" s="222">
        <v>6</v>
      </c>
      <c r="J8" s="222">
        <v>4</v>
      </c>
      <c r="K8" s="222">
        <v>7</v>
      </c>
      <c r="L8" s="222">
        <v>6</v>
      </c>
      <c r="M8" s="222">
        <v>4</v>
      </c>
      <c r="N8" s="222">
        <v>7</v>
      </c>
      <c r="O8" s="222">
        <v>4</v>
      </c>
      <c r="P8" s="222">
        <v>7</v>
      </c>
      <c r="Q8" s="222">
        <v>5</v>
      </c>
      <c r="R8" s="54">
        <v>5</v>
      </c>
      <c r="S8" s="226"/>
    </row>
    <row r="9" spans="1:25" ht="17.25" x14ac:dyDescent="0.3">
      <c r="D9" s="345"/>
      <c r="E9" s="346"/>
      <c r="F9" s="62" t="s">
        <v>33</v>
      </c>
      <c r="G9" s="222">
        <v>5</v>
      </c>
      <c r="H9" s="222">
        <v>4</v>
      </c>
      <c r="I9" s="222">
        <v>4</v>
      </c>
      <c r="J9" s="222">
        <v>4</v>
      </c>
      <c r="K9" s="222">
        <v>5</v>
      </c>
      <c r="L9" s="222">
        <v>3</v>
      </c>
      <c r="M9" s="222">
        <v>4</v>
      </c>
      <c r="N9" s="222">
        <v>4</v>
      </c>
      <c r="O9" s="222">
        <v>3</v>
      </c>
      <c r="P9" s="222">
        <v>4</v>
      </c>
      <c r="Q9" s="222">
        <v>4</v>
      </c>
      <c r="R9" s="54">
        <v>4</v>
      </c>
      <c r="S9" s="226"/>
      <c r="U9" t="s">
        <v>198</v>
      </c>
    </row>
    <row r="10" spans="1:25" ht="17.25" x14ac:dyDescent="0.3">
      <c r="D10" s="345"/>
      <c r="E10" s="346"/>
      <c r="F10" s="62" t="s">
        <v>34</v>
      </c>
      <c r="G10" s="222">
        <v>21</v>
      </c>
      <c r="H10" s="222">
        <v>17</v>
      </c>
      <c r="I10" s="222">
        <v>21</v>
      </c>
      <c r="J10" s="222">
        <v>22</v>
      </c>
      <c r="K10" s="222">
        <v>19</v>
      </c>
      <c r="L10" s="222">
        <v>21</v>
      </c>
      <c r="M10" s="222">
        <v>23</v>
      </c>
      <c r="N10" s="222">
        <v>20</v>
      </c>
      <c r="O10" s="222">
        <v>20</v>
      </c>
      <c r="P10" s="222">
        <v>20</v>
      </c>
      <c r="Q10" s="222">
        <v>21</v>
      </c>
      <c r="R10" s="54">
        <v>22</v>
      </c>
      <c r="S10" s="226"/>
    </row>
    <row r="11" spans="1:25" ht="17.25" x14ac:dyDescent="0.3">
      <c r="D11" s="345"/>
      <c r="E11" s="346"/>
      <c r="F11" s="62" t="s">
        <v>35</v>
      </c>
      <c r="G11" s="222"/>
      <c r="H11" s="222">
        <v>3</v>
      </c>
      <c r="I11" s="222"/>
      <c r="J11" s="222"/>
      <c r="K11" s="222"/>
      <c r="L11" s="222"/>
      <c r="M11" s="222"/>
      <c r="N11" s="222"/>
      <c r="O11" s="222">
        <v>3</v>
      </c>
      <c r="P11" s="222"/>
      <c r="Q11" s="222"/>
      <c r="R11" s="54"/>
      <c r="S11" s="226"/>
      <c r="T11" t="s">
        <v>104</v>
      </c>
    </row>
    <row r="12" spans="1:25" ht="17.25" x14ac:dyDescent="0.3">
      <c r="D12" s="345"/>
      <c r="E12" s="346"/>
      <c r="F12" s="63" t="s">
        <v>103</v>
      </c>
      <c r="G12" s="58">
        <f>SUM(G8:G11)</f>
        <v>31</v>
      </c>
      <c r="H12" s="58">
        <f t="shared" ref="H12:R12" si="0">SUM(H8:H11)</f>
        <v>28</v>
      </c>
      <c r="I12" s="58">
        <f t="shared" si="0"/>
        <v>31</v>
      </c>
      <c r="J12" s="58">
        <f t="shared" si="0"/>
        <v>30</v>
      </c>
      <c r="K12" s="58">
        <f t="shared" si="0"/>
        <v>31</v>
      </c>
      <c r="L12" s="58">
        <f t="shared" si="0"/>
        <v>30</v>
      </c>
      <c r="M12" s="58">
        <f t="shared" si="0"/>
        <v>31</v>
      </c>
      <c r="N12" s="58">
        <f t="shared" si="0"/>
        <v>31</v>
      </c>
      <c r="O12" s="58">
        <f t="shared" si="0"/>
        <v>30</v>
      </c>
      <c r="P12" s="58">
        <f t="shared" si="0"/>
        <v>31</v>
      </c>
      <c r="Q12" s="58">
        <f t="shared" si="0"/>
        <v>30</v>
      </c>
      <c r="R12" s="58">
        <f t="shared" si="0"/>
        <v>31</v>
      </c>
      <c r="S12" s="233">
        <f>SUM(G12:R12)</f>
        <v>365</v>
      </c>
    </row>
    <row r="13" spans="1:25" ht="17.25" x14ac:dyDescent="0.3">
      <c r="D13" s="345"/>
      <c r="E13" s="346"/>
      <c r="F13" s="6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54"/>
      <c r="S13" s="226"/>
    </row>
    <row r="14" spans="1:25" ht="17.25" x14ac:dyDescent="0.3">
      <c r="D14" s="345"/>
      <c r="E14" s="346"/>
      <c r="F14" s="62" t="s">
        <v>36</v>
      </c>
      <c r="G14" s="222">
        <f>SUM(G8*$F$20+G9*$F$19+G10*$F$18+G11*$F$21)</f>
        <v>2878</v>
      </c>
      <c r="H14" s="222">
        <f t="shared" ref="H14:R14" si="1">SUM(H8*$F$20+H9*$F$19+H10*$F$18+H11*$F$21)</f>
        <v>2514</v>
      </c>
      <c r="I14" s="222">
        <f t="shared" si="1"/>
        <v>2876</v>
      </c>
      <c r="J14" s="222">
        <f t="shared" si="1"/>
        <v>2812</v>
      </c>
      <c r="K14" s="222">
        <f t="shared" si="1"/>
        <v>2844</v>
      </c>
      <c r="L14" s="222">
        <f t="shared" si="1"/>
        <v>2793</v>
      </c>
      <c r="M14" s="222">
        <f t="shared" si="1"/>
        <v>2910</v>
      </c>
      <c r="N14" s="222">
        <f t="shared" si="1"/>
        <v>2859</v>
      </c>
      <c r="O14" s="222">
        <f t="shared" si="1"/>
        <v>2725</v>
      </c>
      <c r="P14" s="222">
        <f t="shared" si="1"/>
        <v>2859</v>
      </c>
      <c r="Q14" s="222">
        <f t="shared" si="1"/>
        <v>2795</v>
      </c>
      <c r="R14" s="222">
        <f t="shared" si="1"/>
        <v>2893</v>
      </c>
      <c r="S14" s="233">
        <f>SUM(G14:R14)</f>
        <v>33758</v>
      </c>
    </row>
    <row r="15" spans="1:25" ht="17.25" x14ac:dyDescent="0.3">
      <c r="D15" s="345"/>
      <c r="E15" s="346"/>
      <c r="F15" s="62" t="s">
        <v>37</v>
      </c>
      <c r="G15" s="222">
        <f>SUM(G8*$F$26+G9*$F$24+G10*$F$23+G11*$F$25)</f>
        <v>641</v>
      </c>
      <c r="H15" s="222">
        <f t="shared" ref="H15:R15" si="2">SUM(H8*$F$26+H9*$F$24+H10*$F$23+H11*$F$25)</f>
        <v>568</v>
      </c>
      <c r="I15" s="222">
        <f t="shared" si="2"/>
        <v>641</v>
      </c>
      <c r="J15" s="222">
        <f t="shared" si="2"/>
        <v>622</v>
      </c>
      <c r="K15" s="222">
        <f t="shared" si="2"/>
        <v>639</v>
      </c>
      <c r="L15" s="222">
        <f t="shared" si="2"/>
        <v>621</v>
      </c>
      <c r="M15" s="222">
        <f t="shared" si="2"/>
        <v>643</v>
      </c>
      <c r="N15" s="222">
        <f t="shared" si="2"/>
        <v>640</v>
      </c>
      <c r="O15" s="222">
        <f t="shared" si="2"/>
        <v>611</v>
      </c>
      <c r="P15" s="222">
        <f t="shared" si="2"/>
        <v>640</v>
      </c>
      <c r="Q15" s="222">
        <f t="shared" si="2"/>
        <v>621</v>
      </c>
      <c r="R15" s="222">
        <f t="shared" si="2"/>
        <v>642</v>
      </c>
      <c r="S15" s="233">
        <f t="shared" ref="S15:S33" si="3">SUM(G15:R15)</f>
        <v>7529</v>
      </c>
    </row>
    <row r="16" spans="1:25" ht="17.25" x14ac:dyDescent="0.3">
      <c r="D16" s="345"/>
      <c r="E16" s="346"/>
      <c r="F16" s="63" t="s">
        <v>38</v>
      </c>
      <c r="G16" s="58">
        <f>SUM(G14*$F$27)</f>
        <v>11512</v>
      </c>
      <c r="H16" s="58">
        <f t="shared" ref="H16:R16" si="4">SUM(H14*$F$27)</f>
        <v>10056</v>
      </c>
      <c r="I16" s="58">
        <f t="shared" si="4"/>
        <v>11504</v>
      </c>
      <c r="J16" s="58">
        <f t="shared" si="4"/>
        <v>11248</v>
      </c>
      <c r="K16" s="58">
        <f t="shared" si="4"/>
        <v>11376</v>
      </c>
      <c r="L16" s="58">
        <f t="shared" si="4"/>
        <v>11172</v>
      </c>
      <c r="M16" s="58">
        <f t="shared" si="4"/>
        <v>11640</v>
      </c>
      <c r="N16" s="58">
        <f t="shared" si="4"/>
        <v>11436</v>
      </c>
      <c r="O16" s="58">
        <f t="shared" si="4"/>
        <v>10900</v>
      </c>
      <c r="P16" s="58">
        <f t="shared" si="4"/>
        <v>11436</v>
      </c>
      <c r="Q16" s="58">
        <f t="shared" si="4"/>
        <v>11180</v>
      </c>
      <c r="R16" s="58">
        <f t="shared" si="4"/>
        <v>11572</v>
      </c>
      <c r="S16" s="233">
        <f t="shared" si="3"/>
        <v>135032</v>
      </c>
    </row>
    <row r="17" spans="4:19" ht="17.25" x14ac:dyDescent="0.3">
      <c r="D17" s="347"/>
      <c r="E17" s="348"/>
      <c r="F17" s="63" t="s">
        <v>39</v>
      </c>
      <c r="G17" s="58">
        <f>SUM(G15*$F$27)</f>
        <v>2564</v>
      </c>
      <c r="H17" s="58">
        <f t="shared" ref="H17:R17" si="5">SUM(H15*$F$27)</f>
        <v>2272</v>
      </c>
      <c r="I17" s="58">
        <f t="shared" si="5"/>
        <v>2564</v>
      </c>
      <c r="J17" s="58">
        <f t="shared" si="5"/>
        <v>2488</v>
      </c>
      <c r="K17" s="58">
        <f t="shared" si="5"/>
        <v>2556</v>
      </c>
      <c r="L17" s="58">
        <f t="shared" si="5"/>
        <v>2484</v>
      </c>
      <c r="M17" s="58">
        <f t="shared" si="5"/>
        <v>2572</v>
      </c>
      <c r="N17" s="58">
        <f t="shared" si="5"/>
        <v>2560</v>
      </c>
      <c r="O17" s="58">
        <f t="shared" si="5"/>
        <v>2444</v>
      </c>
      <c r="P17" s="58">
        <f t="shared" si="5"/>
        <v>2560</v>
      </c>
      <c r="Q17" s="58">
        <f t="shared" si="5"/>
        <v>2484</v>
      </c>
      <c r="R17" s="58">
        <f t="shared" si="5"/>
        <v>2568</v>
      </c>
      <c r="S17" s="233">
        <f t="shared" si="3"/>
        <v>30116</v>
      </c>
    </row>
    <row r="18" spans="4:19" ht="17.25" x14ac:dyDescent="0.3">
      <c r="D18" s="25" t="s">
        <v>40</v>
      </c>
      <c r="E18" s="26" t="s">
        <v>34</v>
      </c>
      <c r="F18" s="222">
        <v>98</v>
      </c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54"/>
      <c r="S18" s="233"/>
    </row>
    <row r="19" spans="4:19" ht="17.25" x14ac:dyDescent="0.3">
      <c r="D19" s="25"/>
      <c r="E19" s="27" t="s">
        <v>182</v>
      </c>
      <c r="F19" s="222">
        <v>83</v>
      </c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54"/>
      <c r="S19" s="233"/>
    </row>
    <row r="20" spans="4:19" ht="17.25" x14ac:dyDescent="0.3">
      <c r="D20" s="25"/>
      <c r="E20" s="28" t="s">
        <v>41</v>
      </c>
      <c r="F20" s="222">
        <v>81</v>
      </c>
      <c r="G20" s="222"/>
      <c r="H20" s="222"/>
      <c r="I20" s="222"/>
      <c r="J20" s="222"/>
      <c r="K20" s="222"/>
      <c r="L20" s="222"/>
      <c r="M20" s="222"/>
      <c r="N20" s="222"/>
      <c r="O20" s="222"/>
      <c r="P20" s="222"/>
      <c r="Q20" s="222"/>
      <c r="R20" s="54"/>
      <c r="S20" s="233"/>
    </row>
    <row r="21" spans="4:19" ht="17.25" x14ac:dyDescent="0.3">
      <c r="D21" s="25"/>
      <c r="E21" s="22" t="s">
        <v>35</v>
      </c>
      <c r="F21" s="222">
        <v>64</v>
      </c>
      <c r="G21" s="222"/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54"/>
      <c r="S21" s="233"/>
    </row>
    <row r="22" spans="4:19" ht="17.25" x14ac:dyDescent="0.3">
      <c r="D22" s="25"/>
      <c r="E22" s="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54"/>
      <c r="S22" s="233"/>
    </row>
    <row r="23" spans="4:19" ht="17.25" x14ac:dyDescent="0.3">
      <c r="D23" s="25" t="s">
        <v>42</v>
      </c>
      <c r="E23" s="26" t="s">
        <v>34</v>
      </c>
      <c r="F23" s="222">
        <v>21</v>
      </c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54"/>
      <c r="S23" s="233"/>
    </row>
    <row r="24" spans="4:19" ht="17.25" x14ac:dyDescent="0.3">
      <c r="D24" s="25"/>
      <c r="E24" s="27" t="s">
        <v>182</v>
      </c>
      <c r="F24" s="222">
        <v>20</v>
      </c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54"/>
      <c r="S24" s="233"/>
    </row>
    <row r="25" spans="4:19" ht="17.25" x14ac:dyDescent="0.3">
      <c r="D25" s="25"/>
      <c r="E25" s="22" t="s">
        <v>35</v>
      </c>
      <c r="F25" s="222">
        <v>17</v>
      </c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54"/>
      <c r="S25" s="233"/>
    </row>
    <row r="26" spans="4:19" ht="17.25" x14ac:dyDescent="0.3">
      <c r="D26" s="25"/>
      <c r="E26" s="28" t="s">
        <v>43</v>
      </c>
      <c r="F26" s="222">
        <v>20</v>
      </c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54"/>
      <c r="S26" s="233"/>
    </row>
    <row r="27" spans="4:19" ht="17.25" x14ac:dyDescent="0.3">
      <c r="D27" s="25"/>
      <c r="E27" s="29" t="s">
        <v>44</v>
      </c>
      <c r="F27" s="222">
        <v>4</v>
      </c>
      <c r="G27" s="222"/>
      <c r="H27" s="222"/>
      <c r="I27" s="222"/>
      <c r="J27" s="222"/>
      <c r="K27" s="222"/>
      <c r="L27" s="222"/>
      <c r="M27" s="222"/>
      <c r="N27" s="222"/>
      <c r="O27" s="222"/>
      <c r="P27" s="222"/>
      <c r="Q27" s="222"/>
      <c r="R27" s="54"/>
      <c r="S27" s="233"/>
    </row>
    <row r="28" spans="4:19" ht="17.25" x14ac:dyDescent="0.3">
      <c r="D28" s="25"/>
      <c r="E28" s="22"/>
      <c r="F28" s="222"/>
      <c r="G28" s="222"/>
      <c r="H28" s="222"/>
      <c r="I28" s="222"/>
      <c r="J28" s="222"/>
      <c r="K28" s="222"/>
      <c r="L28" s="222"/>
      <c r="M28" s="222"/>
      <c r="N28" s="222"/>
      <c r="O28" s="222"/>
      <c r="P28" s="222"/>
      <c r="Q28" s="222"/>
      <c r="R28" s="54"/>
      <c r="S28" s="233"/>
    </row>
    <row r="29" spans="4:19" ht="17.25" x14ac:dyDescent="0.3">
      <c r="D29" s="25"/>
      <c r="E29" s="22"/>
      <c r="F29" s="222"/>
      <c r="G29" s="61" t="s">
        <v>105</v>
      </c>
      <c r="H29" s="222"/>
      <c r="I29" s="222"/>
      <c r="J29" s="222" t="s">
        <v>106</v>
      </c>
      <c r="K29" s="222"/>
      <c r="L29" s="222"/>
      <c r="M29" s="222" t="s">
        <v>107</v>
      </c>
      <c r="N29" s="222"/>
      <c r="O29" s="222"/>
      <c r="P29" s="222" t="s">
        <v>108</v>
      </c>
      <c r="Q29" s="222"/>
      <c r="R29" s="54"/>
      <c r="S29" s="233"/>
    </row>
    <row r="30" spans="4:19" ht="17.25" x14ac:dyDescent="0.3">
      <c r="D30" s="25"/>
      <c r="E30" s="22" t="s">
        <v>45</v>
      </c>
      <c r="F30" s="222"/>
      <c r="G30" s="222">
        <f>SUM(G16:I17)</f>
        <v>40472</v>
      </c>
      <c r="H30" s="222"/>
      <c r="I30" s="222"/>
      <c r="J30" s="222">
        <f>SUM(J16:L17)</f>
        <v>41324</v>
      </c>
      <c r="K30" s="222"/>
      <c r="L30" s="222"/>
      <c r="M30" s="222">
        <f>SUM(M16:O17)</f>
        <v>41552</v>
      </c>
      <c r="N30" s="222"/>
      <c r="O30" s="222"/>
      <c r="P30" s="222">
        <f>SUM(P16:R17)</f>
        <v>41800</v>
      </c>
      <c r="Q30" s="222"/>
      <c r="R30" s="54"/>
      <c r="S30" s="233">
        <f t="shared" si="3"/>
        <v>165148</v>
      </c>
    </row>
    <row r="31" spans="4:19" ht="17.25" x14ac:dyDescent="0.3">
      <c r="D31" s="25"/>
      <c r="E31" s="22" t="s">
        <v>46</v>
      </c>
      <c r="F31" s="222"/>
      <c r="G31" s="222">
        <f>$F$27*'분기별합계(2026)'!C19</f>
        <v>232</v>
      </c>
      <c r="H31" s="222"/>
      <c r="I31" s="222"/>
      <c r="J31" s="222">
        <f>$F$27*'분기별합계(2026)'!D19</f>
        <v>236</v>
      </c>
      <c r="K31" s="222"/>
      <c r="L31" s="222"/>
      <c r="M31" s="222">
        <f>$F$27*'분기별합계(2026)'!E19</f>
        <v>248</v>
      </c>
      <c r="N31" s="222"/>
      <c r="O31" s="222"/>
      <c r="P31" s="222">
        <f>$F$27*'분기별합계(2026)'!F19</f>
        <v>244</v>
      </c>
      <c r="Q31" s="222"/>
      <c r="R31" s="54"/>
      <c r="S31" s="233">
        <f t="shared" si="3"/>
        <v>960</v>
      </c>
    </row>
    <row r="32" spans="4:19" ht="17.25" x14ac:dyDescent="0.3">
      <c r="D32" s="25"/>
      <c r="E32" s="22" t="s">
        <v>47</v>
      </c>
      <c r="F32" s="222"/>
      <c r="G32" s="222">
        <f>SUM(G5:I5)*88</f>
        <v>264</v>
      </c>
      <c r="H32" s="222"/>
      <c r="I32" s="222"/>
      <c r="J32" s="222">
        <f>SUM(J5:L5)*88</f>
        <v>528</v>
      </c>
      <c r="K32" s="222"/>
      <c r="L32" s="222"/>
      <c r="M32" s="222">
        <f>SUM(M5:O5)*88</f>
        <v>528</v>
      </c>
      <c r="N32" s="222"/>
      <c r="O32" s="222"/>
      <c r="P32" s="222">
        <f>SUM(P5:R5)*88</f>
        <v>264</v>
      </c>
      <c r="Q32" s="222"/>
      <c r="R32" s="54"/>
      <c r="S32" s="233">
        <f t="shared" si="3"/>
        <v>1584</v>
      </c>
    </row>
    <row r="33" spans="4:20" ht="17.25" x14ac:dyDescent="0.3">
      <c r="D33" s="25"/>
      <c r="E33" s="29" t="s">
        <v>109</v>
      </c>
      <c r="F33" s="222"/>
      <c r="G33" s="222">
        <f>SUM(G30:G32)</f>
        <v>40968</v>
      </c>
      <c r="H33" s="222"/>
      <c r="I33" s="222"/>
      <c r="J33" s="222">
        <f>SUM(J30:J32)</f>
        <v>42088</v>
      </c>
      <c r="K33" s="222"/>
      <c r="L33" s="222"/>
      <c r="M33" s="222">
        <f>SUM(M30:M32)</f>
        <v>42328</v>
      </c>
      <c r="N33" s="222"/>
      <c r="O33" s="222"/>
      <c r="P33" s="222">
        <f>SUM(P30:P32)</f>
        <v>42308</v>
      </c>
      <c r="Q33" s="222"/>
      <c r="R33" s="54"/>
      <c r="S33" s="233">
        <f t="shared" si="3"/>
        <v>167692</v>
      </c>
    </row>
    <row r="34" spans="4:20" x14ac:dyDescent="0.3">
      <c r="D34" s="30"/>
      <c r="E34" s="15"/>
      <c r="F34" s="222"/>
      <c r="G34" s="222"/>
      <c r="H34" s="222"/>
      <c r="I34" s="222"/>
      <c r="J34" s="222"/>
      <c r="K34" s="222"/>
      <c r="L34" s="222"/>
      <c r="M34" s="222"/>
      <c r="N34" s="222"/>
      <c r="O34" s="222"/>
      <c r="P34" s="222"/>
      <c r="Q34" s="222"/>
      <c r="R34" s="54"/>
      <c r="S34" s="226"/>
    </row>
    <row r="35" spans="4:20" ht="17.25" thickBot="1" x14ac:dyDescent="0.35">
      <c r="D35" s="31"/>
      <c r="E35" s="32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60"/>
      <c r="S35" s="226"/>
    </row>
    <row r="36" spans="4:20" x14ac:dyDescent="0.3">
      <c r="S36" s="226"/>
    </row>
    <row r="37" spans="4:20" x14ac:dyDescent="0.3">
      <c r="G37" s="65" t="s">
        <v>133</v>
      </c>
      <c r="S37" s="226"/>
    </row>
    <row r="38" spans="4:20" x14ac:dyDescent="0.3">
      <c r="G38" t="s">
        <v>134</v>
      </c>
      <c r="S38" s="226"/>
    </row>
    <row r="39" spans="4:20" x14ac:dyDescent="0.3">
      <c r="S39" s="64"/>
      <c r="T39" s="17"/>
    </row>
    <row r="40" spans="4:20" x14ac:dyDescent="0.3">
      <c r="S40" s="64"/>
      <c r="T40" s="17"/>
    </row>
    <row r="41" spans="4:20" x14ac:dyDescent="0.3">
      <c r="S41" s="64"/>
      <c r="T41" s="17"/>
    </row>
  </sheetData>
  <mergeCells count="2">
    <mergeCell ref="D2:R2"/>
    <mergeCell ref="D3:E1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2026년 휴일 등</vt:lpstr>
      <vt:lpstr>2026.1.</vt:lpstr>
      <vt:lpstr>2026.2.</vt:lpstr>
      <vt:lpstr>2026.3.</vt:lpstr>
      <vt:lpstr>2026.4.</vt:lpstr>
      <vt:lpstr>2026.5.</vt:lpstr>
      <vt:lpstr>2026.6.</vt:lpstr>
      <vt:lpstr>2026.7.</vt:lpstr>
      <vt:lpstr>2026.8.</vt:lpstr>
      <vt:lpstr>2026.9.</vt:lpstr>
      <vt:lpstr>2026.10.</vt:lpstr>
      <vt:lpstr>2026.11.</vt:lpstr>
      <vt:lpstr>2026.12.</vt:lpstr>
      <vt:lpstr>분기별합계(2026)</vt:lpstr>
      <vt:lpstr>합계(2026)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2026-03-23T06:12:10Z</cp:lastPrinted>
  <dcterms:created xsi:type="dcterms:W3CDTF">2022-08-16T04:55:55Z</dcterms:created>
  <dcterms:modified xsi:type="dcterms:W3CDTF">2026-05-07T04:46:05Z</dcterms:modified>
</cp:coreProperties>
</file>