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강경현\"/>
    </mc:Choice>
  </mc:AlternateContent>
  <xr:revisionPtr revIDLastSave="0" documentId="8_{8134E96B-4B78-4862-AB31-E7E943EEC672}" xr6:coauthVersionLast="47" xr6:coauthVersionMax="47" xr10:uidLastSave="{00000000-0000-0000-0000-000000000000}"/>
  <bookViews>
    <workbookView xWindow="-120" yWindow="-120" windowWidth="29040" windowHeight="15720" xr2:uid="{D48BB2AB-162D-4560-B70E-0FF2A3387D7B}"/>
  </bookViews>
  <sheets>
    <sheet name="휴일" sheetId="2" r:id="rId1"/>
  </sheets>
  <definedNames>
    <definedName name="_xlnm.Print_Area" localSheetId="0">휴일!$A$1:$N$33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9" i="2" l="1"/>
  <c r="J26" i="2"/>
  <c r="J7" i="2"/>
  <c r="J5" i="2"/>
  <c r="J6" i="2"/>
  <c r="J10" i="2"/>
  <c r="J12" i="2"/>
  <c r="J17" i="2"/>
  <c r="J28" i="2"/>
  <c r="J27" i="2"/>
  <c r="J25" i="2"/>
  <c r="J24" i="2"/>
  <c r="J23" i="2"/>
  <c r="J22" i="2"/>
  <c r="J21" i="2"/>
  <c r="J20" i="2"/>
  <c r="J18" i="2"/>
  <c r="J16" i="2"/>
  <c r="J15" i="2"/>
  <c r="J14" i="2"/>
  <c r="J11" i="2"/>
  <c r="J9" i="2"/>
  <c r="J8" i="2"/>
  <c r="J13" i="2"/>
  <c r="H5" i="2"/>
  <c r="H6" i="2"/>
  <c r="H7" i="2"/>
  <c r="H8" i="2"/>
  <c r="H9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</calcChain>
</file>

<file path=xl/sharedStrings.xml><?xml version="1.0" encoding="utf-8"?>
<sst xmlns="http://schemas.openxmlformats.org/spreadsheetml/2006/main" count="92" uniqueCount="67">
  <si>
    <t>DIA</t>
    <phoneticPr fontId="1" type="noConversion"/>
  </si>
  <si>
    <t>열번</t>
    <phoneticPr fontId="1" type="noConversion"/>
  </si>
  <si>
    <t>출고시간</t>
    <phoneticPr fontId="1" type="noConversion"/>
  </si>
  <si>
    <t>비고</t>
    <phoneticPr fontId="1" type="noConversion"/>
  </si>
  <si>
    <t>입고시간</t>
    <phoneticPr fontId="1" type="noConversion"/>
  </si>
  <si>
    <t>금일검종</t>
    <phoneticPr fontId="1" type="noConversion"/>
  </si>
  <si>
    <t>출고열차</t>
    <phoneticPr fontId="1" type="noConversion"/>
  </si>
  <si>
    <t>입고열차</t>
    <phoneticPr fontId="1" type="noConversion"/>
  </si>
  <si>
    <t>유치선</t>
    <phoneticPr fontId="1" type="noConversion"/>
  </si>
  <si>
    <t>야간</t>
    <phoneticPr fontId="1" type="noConversion"/>
  </si>
  <si>
    <t>특기사항</t>
    <phoneticPr fontId="1" type="noConversion"/>
  </si>
  <si>
    <t>일상검사</t>
    <phoneticPr fontId="1" type="noConversion"/>
  </si>
  <si>
    <t>예비차</t>
    <phoneticPr fontId="1" type="noConversion"/>
  </si>
  <si>
    <t>중정비</t>
    <phoneticPr fontId="1" type="noConversion"/>
  </si>
  <si>
    <t>비상대기</t>
    <phoneticPr fontId="1" type="noConversion"/>
  </si>
  <si>
    <t>주간</t>
    <phoneticPr fontId="1" type="noConversion"/>
  </si>
  <si>
    <t>월상검사</t>
    <phoneticPr fontId="1" type="noConversion"/>
  </si>
  <si>
    <t>대청소</t>
    <phoneticPr fontId="1" type="noConversion"/>
  </si>
  <si>
    <t xml:space="preserve"> </t>
    <phoneticPr fontId="1" type="noConversion"/>
  </si>
  <si>
    <t>옥동2</t>
    <phoneticPr fontId="1" type="noConversion"/>
  </si>
  <si>
    <t>옥동3</t>
    <phoneticPr fontId="1" type="noConversion"/>
  </si>
  <si>
    <t>옥동4</t>
    <phoneticPr fontId="1" type="noConversion"/>
  </si>
  <si>
    <t>옥동1</t>
    <phoneticPr fontId="1" type="noConversion"/>
  </si>
  <si>
    <t>옥동2</t>
    <phoneticPr fontId="1" type="noConversion"/>
  </si>
  <si>
    <t>3.5회</t>
    <phoneticPr fontId="1" type="noConversion"/>
  </si>
  <si>
    <t>2회</t>
    <phoneticPr fontId="1" type="noConversion"/>
  </si>
  <si>
    <t>1.5회</t>
    <phoneticPr fontId="1" type="noConversion"/>
  </si>
  <si>
    <t>6회</t>
    <phoneticPr fontId="1" type="noConversion"/>
  </si>
  <si>
    <t>8회</t>
    <phoneticPr fontId="1" type="noConversion"/>
  </si>
  <si>
    <t>4회</t>
    <phoneticPr fontId="1" type="noConversion"/>
  </si>
  <si>
    <t>2.5회</t>
    <phoneticPr fontId="1" type="noConversion"/>
  </si>
  <si>
    <t>휴일</t>
    <phoneticPr fontId="1" type="noConversion"/>
  </si>
  <si>
    <t>옥동</t>
    <phoneticPr fontId="1" type="noConversion"/>
  </si>
  <si>
    <t>연번</t>
    <phoneticPr fontId="1" type="noConversion"/>
  </si>
  <si>
    <t>기술연구</t>
    <phoneticPr fontId="1" type="noConversion"/>
  </si>
  <si>
    <t>열차</t>
    <phoneticPr fontId="1" type="noConversion"/>
  </si>
  <si>
    <t>전 동 차  일 일 입 출 고 계 획</t>
    <phoneticPr fontId="1" type="noConversion"/>
  </si>
  <si>
    <t>7회</t>
  </si>
  <si>
    <t>3.5회</t>
  </si>
  <si>
    <t>2회</t>
  </si>
  <si>
    <t>5.5회</t>
  </si>
  <si>
    <t>1회</t>
  </si>
  <si>
    <t>4.5회</t>
  </si>
  <si>
    <t>5회</t>
  </si>
  <si>
    <t>1.5회</t>
  </si>
  <si>
    <t>6회</t>
  </si>
  <si>
    <t>-</t>
    <phoneticPr fontId="1" type="noConversion"/>
  </si>
  <si>
    <t>옥동2</t>
  </si>
  <si>
    <t>옥동4</t>
  </si>
  <si>
    <t>옥동3</t>
  </si>
  <si>
    <t xml:space="preserve">  </t>
    <phoneticPr fontId="1" type="noConversion"/>
  </si>
  <si>
    <t>검사고</t>
    <phoneticPr fontId="1" type="noConversion"/>
  </si>
  <si>
    <t>7D</t>
    <phoneticPr fontId="1" type="noConversion"/>
  </si>
  <si>
    <t>C2</t>
    <phoneticPr fontId="1" type="noConversion"/>
  </si>
  <si>
    <t>23R</t>
    <phoneticPr fontId="1" type="noConversion"/>
  </si>
  <si>
    <t>D2</t>
    <phoneticPr fontId="1" type="noConversion"/>
  </si>
  <si>
    <t>D3</t>
    <phoneticPr fontId="1" type="noConversion"/>
  </si>
  <si>
    <t>M2</t>
    <phoneticPr fontId="1" type="noConversion"/>
  </si>
  <si>
    <t>D1</t>
    <phoneticPr fontId="1" type="noConversion"/>
  </si>
  <si>
    <t>20R</t>
    <phoneticPr fontId="1" type="noConversion"/>
  </si>
  <si>
    <t>M1</t>
    <phoneticPr fontId="1" type="noConversion"/>
  </si>
  <si>
    <t>27R</t>
    <phoneticPr fontId="1" type="noConversion"/>
  </si>
  <si>
    <t>21R</t>
    <phoneticPr fontId="1" type="noConversion"/>
  </si>
  <si>
    <t>103(25R)</t>
    <phoneticPr fontId="1" type="noConversion"/>
  </si>
  <si>
    <t>104(F2)</t>
    <phoneticPr fontId="1" type="noConversion"/>
  </si>
  <si>
    <t>19R</t>
    <phoneticPr fontId="1" type="noConversion"/>
  </si>
  <si>
    <t>101(24R).110(C1)
111(28R),116(26R)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</si>
</sst>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2" formatCode="[hh]:mm"/>
    <numFmt numFmtId="184" formatCode="[$-F800]dddd\,\ mmmm\ dd\,\ yyyy"/>
    <numFmt numFmtId="192" formatCode="m&quot;/&quot;d;@"/>
  </numFmts>
  <fonts count="11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1"/>
      <name val="돋움"/>
      <family val="3"/>
      <charset val="129"/>
    </font>
    <font>
      <b/>
      <sz val="12"/>
      <name val="돋움"/>
      <family val="3"/>
      <charset val="129"/>
    </font>
    <font>
      <b/>
      <sz val="12"/>
      <color indexed="10"/>
      <name val="돋움"/>
      <family val="3"/>
      <charset val="129"/>
    </font>
    <font>
      <b/>
      <sz val="20"/>
      <name val="돋움"/>
      <family val="3"/>
      <charset val="129"/>
    </font>
    <font>
      <b/>
      <sz val="8"/>
      <name val="돋움"/>
      <family val="3"/>
      <charset val="129"/>
    </font>
    <font>
      <b/>
      <sz val="9"/>
      <name val="돋움"/>
      <family val="3"/>
      <charset val="129"/>
    </font>
    <font>
      <b/>
      <sz val="10"/>
      <name val="돋움"/>
      <family val="3"/>
      <charset val="129"/>
    </font>
    <font>
      <b/>
      <sz val="12"/>
      <color theme="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4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161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182" fontId="3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5" xfId="0" applyNumberFormat="1" applyFont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0" fontId="4" fillId="0" borderId="9" xfId="0" applyNumberFormat="1" applyFont="1" applyFill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10" fillId="0" borderId="5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0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4" fillId="0" borderId="0" xfId="0" applyFont="1">
      <alignment vertical="center"/>
    </xf>
    <xf numFmtId="0" fontId="4" fillId="0" borderId="0" xfId="0" applyFont="1" applyBorder="1">
      <alignment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82" fontId="4" fillId="0" borderId="0" xfId="0" applyNumberFormat="1" applyFont="1" applyBorder="1" applyAlignment="1">
      <alignment horizontal="right"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82" fontId="4" fillId="0" borderId="2" xfId="0" applyNumberFormat="1" applyFont="1" applyBorder="1" applyAlignment="1">
      <alignment horizontal="right" vertical="center"/>
    </xf>
    <xf numFmtId="0" fontId="4" fillId="0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82" fontId="4" fillId="2" borderId="2" xfId="0" applyNumberFormat="1" applyFont="1" applyFill="1" applyBorder="1" applyAlignment="1">
      <alignment horizontal="right" vertical="center"/>
    </xf>
    <xf numFmtId="0" fontId="4" fillId="0" borderId="15" xfId="0" applyFont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82" fontId="4" fillId="0" borderId="17" xfId="0" applyNumberFormat="1" applyFont="1" applyBorder="1" applyAlignment="1">
      <alignment horizontal="right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82" fontId="4" fillId="2" borderId="3" xfId="0" applyNumberFormat="1" applyFont="1" applyFill="1" applyBorder="1" applyAlignment="1">
      <alignment horizontal="right" vertical="center"/>
    </xf>
    <xf numFmtId="0" fontId="8" fillId="0" borderId="19" xfId="0" applyFont="1" applyBorder="1" applyAlignment="1">
      <alignment horizontal="center" vertical="center"/>
    </xf>
    <xf numFmtId="182" fontId="4" fillId="0" borderId="3" xfId="0" applyNumberFormat="1" applyFont="1" applyBorder="1" applyAlignment="1">
      <alignment horizontal="right" vertical="center"/>
    </xf>
    <xf numFmtId="0" fontId="4" fillId="0" borderId="5" xfId="0" applyFont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92" fontId="4" fillId="0" borderId="0" xfId="0" applyNumberFormat="1" applyFont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82" fontId="4" fillId="0" borderId="3" xfId="0" applyNumberFormat="1" applyFont="1" applyFill="1" applyBorder="1" applyAlignment="1">
      <alignment horizontal="right" vertical="center"/>
    </xf>
    <xf numFmtId="0" fontId="4" fillId="0" borderId="17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0" borderId="14" xfId="0" applyFont="1" applyFill="1" applyBorder="1" applyAlignment="1">
      <alignment horizontal="center" vertical="center"/>
    </xf>
    <xf numFmtId="0" fontId="4" fillId="0" borderId="16" xfId="0" applyFont="1" applyFill="1" applyBorder="1" applyAlignment="1">
      <alignment horizontal="center" vertical="center"/>
    </xf>
    <xf numFmtId="0" fontId="4" fillId="0" borderId="2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82" fontId="4" fillId="0" borderId="10" xfId="0" applyNumberFormat="1" applyFont="1" applyBorder="1" applyAlignment="1">
      <alignment horizontal="right" vertical="center"/>
    </xf>
    <xf numFmtId="0" fontId="4" fillId="0" borderId="23" xfId="0" applyFont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82" fontId="4" fillId="0" borderId="12" xfId="0" applyNumberFormat="1" applyFont="1" applyBorder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182" fontId="4" fillId="0" borderId="25" xfId="0" applyNumberFormat="1" applyFont="1" applyBorder="1" applyAlignment="1">
      <alignment horizontal="right" vertical="center"/>
    </xf>
    <xf numFmtId="0" fontId="4" fillId="3" borderId="14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82" fontId="4" fillId="2" borderId="12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18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182" fontId="4" fillId="2" borderId="4" xfId="0" applyNumberFormat="1" applyFont="1" applyFill="1" applyBorder="1" applyAlignment="1">
      <alignment horizontal="right" vertical="center"/>
    </xf>
    <xf numFmtId="0" fontId="4" fillId="0" borderId="2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82" fontId="4" fillId="2" borderId="28" xfId="0" applyNumberFormat="1" applyFont="1" applyFill="1" applyBorder="1" applyAlignment="1">
      <alignment horizontal="right" vertical="center"/>
    </xf>
    <xf numFmtId="0" fontId="4" fillId="4" borderId="17" xfId="0" applyFont="1" applyFill="1" applyBorder="1" applyAlignment="1">
      <alignment horizontal="center" vertical="center"/>
    </xf>
    <xf numFmtId="182" fontId="4" fillId="2" borderId="17" xfId="0" applyNumberFormat="1" applyFont="1" applyFill="1" applyBorder="1" applyAlignment="1">
      <alignment horizontal="right" vertical="center"/>
    </xf>
    <xf numFmtId="182" fontId="4" fillId="0" borderId="16" xfId="0" applyNumberFormat="1" applyFont="1" applyBorder="1" applyAlignment="1">
      <alignment horizontal="right" vertical="center"/>
    </xf>
    <xf numFmtId="182" fontId="4" fillId="0" borderId="2" xfId="0" applyNumberFormat="1" applyFont="1" applyFill="1" applyBorder="1" applyAlignment="1">
      <alignment horizontal="right" vertical="center"/>
    </xf>
    <xf numFmtId="0" fontId="4" fillId="4" borderId="28" xfId="0" applyFont="1" applyFill="1" applyBorder="1" applyAlignment="1">
      <alignment horizontal="center" vertical="center"/>
    </xf>
    <xf numFmtId="182" fontId="4" fillId="0" borderId="4" xfId="0" applyNumberFormat="1" applyFont="1" applyBorder="1" applyAlignment="1">
      <alignment horizontal="right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2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7" fillId="0" borderId="0" xfId="0" applyNumberFormat="1" applyFont="1">
      <alignment vertical="center"/>
    </xf>
    <xf numFmtId="182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0" fillId="2" borderId="3" xfId="0" applyNumberFormat="1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0" fillId="2" borderId="5" xfId="0" applyNumberFormat="1" applyFont="1" applyFill="1" applyBorder="1" applyAlignment="1">
      <alignment horizontal="center" vertical="center"/>
    </xf>
    <xf numFmtId="0" fontId="10" fillId="2" borderId="4" xfId="0" applyNumberFormat="1" applyFont="1" applyFill="1" applyBorder="1" applyAlignment="1">
      <alignment horizontal="center" vertical="center"/>
    </xf>
    <xf numFmtId="0" fontId="10" fillId="5" borderId="2" xfId="0" applyNumberFormat="1" applyFont="1" applyFill="1" applyBorder="1" applyAlignment="1">
      <alignment horizontal="center" vertical="center"/>
    </xf>
    <xf numFmtId="0" fontId="10" fillId="5" borderId="4" xfId="0" applyNumberFormat="1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0" fillId="5" borderId="3" xfId="0" applyNumberFormat="1" applyFont="1" applyFill="1" applyBorder="1" applyAlignment="1">
      <alignment horizontal="center" vertical="center"/>
    </xf>
    <xf numFmtId="0" fontId="5" fillId="0" borderId="36" xfId="0" applyFont="1" applyBorder="1" applyAlignment="1">
      <alignment horizontal="right" vertical="center"/>
    </xf>
    <xf numFmtId="0" fontId="5" fillId="0" borderId="37" xfId="0" applyFont="1" applyBorder="1" applyAlignment="1">
      <alignment horizontal="right" vertical="center"/>
    </xf>
    <xf numFmtId="0" fontId="5" fillId="0" borderId="38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0" borderId="18" xfId="0" quotePrefix="1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84" fontId="4" fillId="0" borderId="36" xfId="0" applyNumberFormat="1" applyFont="1" applyBorder="1" applyAlignment="1">
      <alignment horizontal="left" vertical="center"/>
    </xf>
    <xf numFmtId="184" fontId="4" fillId="0" borderId="37" xfId="0" applyNumberFormat="1" applyFont="1" applyBorder="1" applyAlignment="1">
      <alignment horizontal="left" vertical="center"/>
    </xf>
    <xf numFmtId="184" fontId="4" fillId="0" borderId="38" xfId="0" applyNumberFormat="1" applyFont="1" applyBorder="1" applyAlignment="1">
      <alignment horizontal="left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7" fillId="0" borderId="44" xfId="0" applyFont="1" applyBorder="1" applyAlignment="1">
      <alignment horizontal="center" vertical="center" wrapText="1"/>
    </xf>
    <xf numFmtId="3" fontId="3" fillId="0" borderId="45" xfId="0" applyNumberFormat="1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 vertical="center"/>
    </xf>
    <xf numFmtId="0" fontId="3" fillId="0" borderId="13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3" fontId="3" fillId="0" borderId="3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19" xfId="0" applyNumberFormat="1" applyFont="1" applyFill="1" applyBorder="1" applyAlignment="1">
      <alignment horizontal="center" vertical="center"/>
    </xf>
    <xf numFmtId="0" fontId="3" fillId="0" borderId="3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7" xfId="0" quotePrefix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3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34" xfId="0" applyFont="1" applyFill="1" applyBorder="1" applyAlignment="1">
      <alignment horizontal="center" vertical="center"/>
    </xf>
    <xf numFmtId="0" fontId="3" fillId="0" borderId="3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38634-976B-4B49-A412-C345E603A071}">
  <sheetPr codeName="Sheet1">
    <pageSetUpPr fitToPage="1"/>
  </sheetPr>
  <dimension ref="A1:W35"/>
  <sheetViews>
    <sheetView showZeros="0" tabSelected="1" topLeftCell="A8" zoomScaleNormal="100" workbookViewId="0">
      <selection activeCell="J34" sqref="J34"/>
    </sheetView>
  </sheetViews>
  <sheetFormatPr defaultRowHeight="10.5" x14ac:dyDescent="0.15"/>
  <cols>
    <col min="1" max="1" width="3.44140625" style="93" customWidth="1"/>
    <col min="2" max="2" width="3.88671875" style="93" customWidth="1"/>
    <col min="3" max="3" width="5.5546875" style="93" customWidth="1"/>
    <col min="4" max="4" width="5.44140625" style="100" customWidth="1"/>
    <col min="5" max="5" width="8" style="101" customWidth="1"/>
    <col min="6" max="6" width="6.6640625" style="102" bestFit="1" customWidth="1"/>
    <col min="7" max="7" width="6.21875" style="93" customWidth="1"/>
    <col min="8" max="8" width="4" style="93" bestFit="1" customWidth="1"/>
    <col min="9" max="9" width="5.33203125" style="93" bestFit="1" customWidth="1"/>
    <col min="10" max="10" width="5.33203125" style="100" customWidth="1"/>
    <col min="11" max="11" width="7.88671875" style="101" customWidth="1"/>
    <col min="12" max="12" width="6.33203125" style="93" customWidth="1"/>
    <col min="13" max="13" width="8.6640625" style="93" customWidth="1"/>
    <col min="14" max="14" width="6.109375" style="93" customWidth="1"/>
    <col min="15" max="18" width="8.88671875" style="93"/>
    <col min="19" max="19" width="9" style="93" bestFit="1" customWidth="1"/>
    <col min="20" max="16384" width="8.88671875" style="93"/>
  </cols>
  <sheetData>
    <row r="1" spans="1:23" s="23" customFormat="1" ht="42" customHeight="1" thickBot="1" x14ac:dyDescent="0.2">
      <c r="A1" s="137" t="s">
        <v>36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</row>
    <row r="2" spans="1:23" s="24" customFormat="1" ht="25.5" customHeight="1" thickTop="1" thickBot="1" x14ac:dyDescent="0.2">
      <c r="A2" s="118">
        <v>46194</v>
      </c>
      <c r="B2" s="119"/>
      <c r="C2" s="119"/>
      <c r="D2" s="119"/>
      <c r="E2" s="119"/>
      <c r="F2" s="119"/>
      <c r="G2" s="120"/>
      <c r="H2" s="112" t="s">
        <v>31</v>
      </c>
      <c r="I2" s="113"/>
      <c r="J2" s="113"/>
      <c r="K2" s="113"/>
      <c r="L2" s="113"/>
      <c r="M2" s="113"/>
      <c r="N2" s="114"/>
      <c r="S2" s="25"/>
      <c r="T2" s="25"/>
      <c r="U2" s="25"/>
      <c r="V2" s="25"/>
      <c r="W2" s="25"/>
    </row>
    <row r="3" spans="1:23" s="24" customFormat="1" ht="20.25" thickTop="1" thickBot="1" x14ac:dyDescent="0.2">
      <c r="A3" s="121" t="s">
        <v>6</v>
      </c>
      <c r="B3" s="122"/>
      <c r="C3" s="122"/>
      <c r="D3" s="122"/>
      <c r="E3" s="122"/>
      <c r="F3" s="122"/>
      <c r="G3" s="123"/>
      <c r="H3" s="115" t="s">
        <v>7</v>
      </c>
      <c r="I3" s="115"/>
      <c r="J3" s="115"/>
      <c r="K3" s="115"/>
      <c r="L3" s="115"/>
      <c r="M3" s="115"/>
      <c r="N3" s="115"/>
      <c r="S3" s="25"/>
      <c r="T3" s="11"/>
      <c r="U3" s="11"/>
      <c r="V3" s="11"/>
      <c r="W3" s="25"/>
    </row>
    <row r="4" spans="1:23" s="3" customFormat="1" ht="20.25" customHeight="1" thickTop="1" thickBot="1" x14ac:dyDescent="0.2">
      <c r="A4" s="1" t="s">
        <v>0</v>
      </c>
      <c r="B4" s="1" t="s">
        <v>33</v>
      </c>
      <c r="C4" s="1" t="s">
        <v>1</v>
      </c>
      <c r="D4" s="4" t="s">
        <v>35</v>
      </c>
      <c r="E4" s="2" t="s">
        <v>2</v>
      </c>
      <c r="F4" s="1" t="s">
        <v>8</v>
      </c>
      <c r="G4" s="1" t="s">
        <v>3</v>
      </c>
      <c r="H4" s="1" t="s">
        <v>33</v>
      </c>
      <c r="I4" s="1" t="s">
        <v>1</v>
      </c>
      <c r="J4" s="4" t="s">
        <v>35</v>
      </c>
      <c r="K4" s="2" t="s">
        <v>4</v>
      </c>
      <c r="L4" s="1" t="s">
        <v>8</v>
      </c>
      <c r="M4" s="1" t="s">
        <v>5</v>
      </c>
      <c r="N4" s="1" t="s">
        <v>3</v>
      </c>
      <c r="O4" s="26"/>
      <c r="S4" s="27"/>
      <c r="T4" s="28"/>
      <c r="U4" s="28"/>
      <c r="V4" s="28"/>
      <c r="W4" s="27"/>
    </row>
    <row r="5" spans="1:23" s="3" customFormat="1" ht="18" customHeight="1" thickTop="1" thickBot="1" x14ac:dyDescent="0.2">
      <c r="A5" s="29">
        <v>1</v>
      </c>
      <c r="B5" s="30">
        <v>1</v>
      </c>
      <c r="C5" s="31">
        <v>1901</v>
      </c>
      <c r="D5" s="10"/>
      <c r="E5" s="32">
        <v>0.22222222222222221</v>
      </c>
      <c r="F5" s="31"/>
      <c r="G5" s="33" t="s">
        <v>37</v>
      </c>
      <c r="H5" s="34">
        <f>B9</f>
        <v>5</v>
      </c>
      <c r="I5" s="31">
        <v>1902</v>
      </c>
      <c r="J5" s="14"/>
      <c r="K5" s="35">
        <v>0.30555555555555552</v>
      </c>
      <c r="L5" s="22"/>
      <c r="N5" s="36"/>
      <c r="O5" s="3" t="s">
        <v>18</v>
      </c>
      <c r="S5" s="27"/>
      <c r="T5" s="27"/>
      <c r="U5" s="27"/>
      <c r="V5" s="27"/>
      <c r="W5" s="27"/>
    </row>
    <row r="6" spans="1:23" s="3" customFormat="1" ht="18" customHeight="1" thickTop="1" thickBot="1" x14ac:dyDescent="0.2">
      <c r="A6" s="37">
        <v>2</v>
      </c>
      <c r="B6" s="38">
        <v>2</v>
      </c>
      <c r="C6" s="39">
        <v>1002</v>
      </c>
      <c r="D6" s="20"/>
      <c r="E6" s="40">
        <v>0.22638888888888889</v>
      </c>
      <c r="F6" s="22"/>
      <c r="G6" s="41" t="s">
        <v>38</v>
      </c>
      <c r="H6" s="42">
        <f>B7</f>
        <v>3</v>
      </c>
      <c r="I6" s="22">
        <v>1904</v>
      </c>
      <c r="J6" s="19"/>
      <c r="K6" s="43">
        <v>0.36527777777777781</v>
      </c>
      <c r="L6" s="80"/>
      <c r="M6" s="80"/>
      <c r="N6" s="44"/>
      <c r="S6" s="27"/>
      <c r="T6" s="27"/>
      <c r="U6" s="27"/>
      <c r="V6" s="27"/>
      <c r="W6" s="27"/>
    </row>
    <row r="7" spans="1:23" s="3" customFormat="1" ht="18" customHeight="1" thickTop="1" thickBot="1" x14ac:dyDescent="0.2">
      <c r="A7" s="37">
        <v>3</v>
      </c>
      <c r="B7" s="38">
        <v>3</v>
      </c>
      <c r="C7" s="22">
        <v>1903</v>
      </c>
      <c r="D7" s="10"/>
      <c r="E7" s="45">
        <v>0.23611111111111113</v>
      </c>
      <c r="F7" s="46"/>
      <c r="G7" s="47" t="s">
        <v>39</v>
      </c>
      <c r="H7" s="42">
        <f>B12</f>
        <v>8</v>
      </c>
      <c r="I7" s="31">
        <v>1906</v>
      </c>
      <c r="J7" s="103"/>
      <c r="K7" s="43">
        <v>0.3888888888888889</v>
      </c>
      <c r="L7" s="80"/>
      <c r="M7" s="80"/>
      <c r="N7" s="48"/>
      <c r="O7" s="3" t="s">
        <v>18</v>
      </c>
      <c r="S7" s="49"/>
    </row>
    <row r="8" spans="1:23" s="3" customFormat="1" ht="18" customHeight="1" thickTop="1" thickBot="1" x14ac:dyDescent="0.2">
      <c r="A8" s="37">
        <v>4</v>
      </c>
      <c r="B8" s="38">
        <v>4</v>
      </c>
      <c r="C8" s="39">
        <v>1004</v>
      </c>
      <c r="D8" s="20"/>
      <c r="E8" s="40">
        <v>0.23680555555555557</v>
      </c>
      <c r="F8" s="22"/>
      <c r="G8" s="41" t="s">
        <v>40</v>
      </c>
      <c r="H8" s="42">
        <f>B6</f>
        <v>2</v>
      </c>
      <c r="I8" s="22">
        <v>1908</v>
      </c>
      <c r="J8" s="19"/>
      <c r="K8" s="43">
        <v>0.43055555555555558</v>
      </c>
      <c r="L8" s="80"/>
      <c r="M8" s="80"/>
      <c r="N8" s="50"/>
      <c r="O8" s="3" t="s">
        <v>50</v>
      </c>
      <c r="S8" s="49"/>
    </row>
    <row r="9" spans="1:23" s="3" customFormat="1" ht="18" customHeight="1" thickTop="1" thickBot="1" x14ac:dyDescent="0.2">
      <c r="A9" s="37">
        <v>5</v>
      </c>
      <c r="B9" s="38">
        <v>5</v>
      </c>
      <c r="C9" s="22">
        <v>1905</v>
      </c>
      <c r="D9" s="10"/>
      <c r="E9" s="45">
        <v>0.24652777777777779</v>
      </c>
      <c r="F9" s="22"/>
      <c r="G9" s="47" t="s">
        <v>41</v>
      </c>
      <c r="H9" s="42">
        <f>B14</f>
        <v>10</v>
      </c>
      <c r="I9" s="31">
        <v>1910</v>
      </c>
      <c r="J9" s="111"/>
      <c r="K9" s="43">
        <v>0.47222222222222227</v>
      </c>
      <c r="L9" s="105"/>
      <c r="M9" s="105"/>
      <c r="N9" s="50"/>
      <c r="Q9" s="51"/>
      <c r="S9" s="49"/>
    </row>
    <row r="10" spans="1:23" s="3" customFormat="1" ht="18" customHeight="1" thickTop="1" thickBot="1" x14ac:dyDescent="0.2">
      <c r="A10" s="37">
        <v>6</v>
      </c>
      <c r="B10" s="38">
        <v>6</v>
      </c>
      <c r="C10" s="39">
        <v>1006</v>
      </c>
      <c r="D10" s="20"/>
      <c r="E10" s="40">
        <v>0.24722222222222223</v>
      </c>
      <c r="F10" s="22"/>
      <c r="G10" s="41" t="s">
        <v>42</v>
      </c>
      <c r="H10" s="42">
        <v>6</v>
      </c>
      <c r="I10" s="22">
        <v>1912</v>
      </c>
      <c r="J10" s="19"/>
      <c r="K10" s="52">
        <v>0.51388888888888895</v>
      </c>
      <c r="L10" s="80"/>
      <c r="M10" s="80"/>
      <c r="N10" s="50"/>
      <c r="S10" s="49"/>
    </row>
    <row r="11" spans="1:23" s="3" customFormat="1" ht="18" customHeight="1" thickTop="1" thickBot="1" x14ac:dyDescent="0.2">
      <c r="A11" s="37">
        <v>7</v>
      </c>
      <c r="B11" s="53">
        <v>7</v>
      </c>
      <c r="C11" s="22">
        <v>1907</v>
      </c>
      <c r="D11" s="10"/>
      <c r="E11" s="45">
        <v>0.29652777777777778</v>
      </c>
      <c r="F11" s="22"/>
      <c r="G11" s="41" t="s">
        <v>43</v>
      </c>
      <c r="H11" s="42">
        <f>B8</f>
        <v>4</v>
      </c>
      <c r="I11" s="31">
        <v>1914</v>
      </c>
      <c r="J11" s="6"/>
      <c r="K11" s="52">
        <v>0.55555555555555558</v>
      </c>
      <c r="L11" s="80"/>
      <c r="N11" s="54"/>
      <c r="S11" s="49"/>
    </row>
    <row r="12" spans="1:23" s="3" customFormat="1" ht="18" customHeight="1" thickTop="1" thickBot="1" x14ac:dyDescent="0.2">
      <c r="A12" s="37">
        <v>8</v>
      </c>
      <c r="B12" s="53">
        <v>8</v>
      </c>
      <c r="C12" s="39">
        <v>1018</v>
      </c>
      <c r="D12" s="20"/>
      <c r="E12" s="40">
        <v>0.30277777777777776</v>
      </c>
      <c r="F12" s="22"/>
      <c r="G12" s="41" t="s">
        <v>44</v>
      </c>
      <c r="H12" s="55">
        <f>B11</f>
        <v>7</v>
      </c>
      <c r="I12" s="22">
        <v>1916</v>
      </c>
      <c r="J12" s="10"/>
      <c r="K12" s="52">
        <v>0.59722222222222221</v>
      </c>
      <c r="L12" s="80"/>
      <c r="M12" s="80"/>
      <c r="N12" s="50"/>
      <c r="Q12" s="26"/>
      <c r="S12" s="49"/>
    </row>
    <row r="13" spans="1:23" s="3" customFormat="1" ht="18" customHeight="1" thickTop="1" x14ac:dyDescent="0.15">
      <c r="A13" s="37">
        <v>9</v>
      </c>
      <c r="B13" s="38">
        <v>9</v>
      </c>
      <c r="C13" s="22">
        <v>1909</v>
      </c>
      <c r="D13" s="5"/>
      <c r="E13" s="45">
        <v>0.33680555555555558</v>
      </c>
      <c r="F13" s="22"/>
      <c r="G13" s="41" t="s">
        <v>45</v>
      </c>
      <c r="H13" s="56">
        <f>B5</f>
        <v>1</v>
      </c>
      <c r="I13" s="31">
        <v>1918</v>
      </c>
      <c r="J13" s="6"/>
      <c r="K13" s="40">
        <v>0.63888888888888895</v>
      </c>
      <c r="L13" s="22"/>
      <c r="M13" s="22"/>
      <c r="N13" s="50"/>
      <c r="Q13" s="26"/>
      <c r="S13" s="49"/>
    </row>
    <row r="14" spans="1:23" s="3" customFormat="1" ht="18" customHeight="1" thickBot="1" x14ac:dyDescent="0.2">
      <c r="A14" s="37">
        <v>10</v>
      </c>
      <c r="B14" s="38">
        <v>10</v>
      </c>
      <c r="C14" s="22">
        <v>1911</v>
      </c>
      <c r="D14" s="10"/>
      <c r="E14" s="45">
        <v>0.3576388888888889</v>
      </c>
      <c r="F14" s="22"/>
      <c r="G14" s="41" t="s">
        <v>39</v>
      </c>
      <c r="H14" s="57">
        <f>B13</f>
        <v>9</v>
      </c>
      <c r="I14" s="58">
        <v>1920</v>
      </c>
      <c r="J14" s="21"/>
      <c r="K14" s="59">
        <v>0.68055555555555547</v>
      </c>
      <c r="L14" s="58"/>
      <c r="M14" s="58"/>
      <c r="N14" s="60"/>
      <c r="P14" s="26"/>
      <c r="Q14" s="26" t="s">
        <v>18</v>
      </c>
      <c r="S14" s="49"/>
    </row>
    <row r="15" spans="1:23" s="3" customFormat="1" ht="18" customHeight="1" thickTop="1" x14ac:dyDescent="0.15">
      <c r="A15" s="37">
        <v>24</v>
      </c>
      <c r="B15" s="61">
        <v>11</v>
      </c>
      <c r="C15" s="39">
        <v>1913</v>
      </c>
      <c r="D15" s="7"/>
      <c r="E15" s="40">
        <v>0.37847222222222227</v>
      </c>
      <c r="F15" s="62"/>
      <c r="G15" s="63" t="s">
        <v>45</v>
      </c>
      <c r="H15" s="55">
        <f>B15</f>
        <v>11</v>
      </c>
      <c r="I15" s="31">
        <v>1922</v>
      </c>
      <c r="J15" s="14"/>
      <c r="K15" s="64">
        <v>0.72222222222222221</v>
      </c>
      <c r="L15" s="22"/>
      <c r="M15" s="22"/>
      <c r="N15" s="65"/>
      <c r="P15" s="26"/>
      <c r="Q15" s="26"/>
      <c r="S15" s="49"/>
    </row>
    <row r="16" spans="1:23" s="3" customFormat="1" ht="18" customHeight="1" thickBot="1" x14ac:dyDescent="0.2">
      <c r="A16" s="66">
        <v>12</v>
      </c>
      <c r="B16" s="67">
        <v>12</v>
      </c>
      <c r="C16" s="58">
        <v>1915</v>
      </c>
      <c r="D16" s="21"/>
      <c r="E16" s="68">
        <v>0.4201388888888889</v>
      </c>
      <c r="F16" s="58"/>
      <c r="G16" s="60" t="s">
        <v>45</v>
      </c>
      <c r="H16" s="55">
        <f>B21</f>
        <v>17</v>
      </c>
      <c r="I16" s="31">
        <v>1924</v>
      </c>
      <c r="J16" s="14"/>
      <c r="K16" s="32">
        <v>0.74305555555555547</v>
      </c>
      <c r="L16" s="80"/>
      <c r="M16" s="80"/>
      <c r="N16" s="65"/>
      <c r="P16" s="26"/>
      <c r="Q16" s="26"/>
      <c r="S16" s="49"/>
    </row>
    <row r="17" spans="1:19" s="3" customFormat="1" ht="18" customHeight="1" thickTop="1" x14ac:dyDescent="0.15">
      <c r="A17" s="69">
        <v>22</v>
      </c>
      <c r="B17" s="30">
        <v>13</v>
      </c>
      <c r="C17" s="70">
        <v>1917</v>
      </c>
      <c r="D17" s="108"/>
      <c r="E17" s="35">
        <v>0.46180555555555558</v>
      </c>
      <c r="F17" s="71"/>
      <c r="G17" s="65" t="s">
        <v>27</v>
      </c>
      <c r="H17" s="56">
        <f>B16</f>
        <v>12</v>
      </c>
      <c r="I17" s="31">
        <v>1926</v>
      </c>
      <c r="J17" s="7"/>
      <c r="K17" s="45">
        <v>0.76388888888888884</v>
      </c>
      <c r="L17" s="80"/>
      <c r="M17" s="80"/>
      <c r="N17" s="50"/>
      <c r="P17" s="26"/>
      <c r="S17" s="49"/>
    </row>
    <row r="18" spans="1:19" s="3" customFormat="1" ht="18" customHeight="1" x14ac:dyDescent="0.15">
      <c r="A18" s="37">
        <v>16</v>
      </c>
      <c r="B18" s="61">
        <v>14</v>
      </c>
      <c r="C18" s="72">
        <v>1919</v>
      </c>
      <c r="D18" s="106"/>
      <c r="E18" s="73">
        <v>0.50347222222222221</v>
      </c>
      <c r="F18" s="74"/>
      <c r="G18" s="75" t="s">
        <v>28</v>
      </c>
      <c r="H18" s="56">
        <f>B17</f>
        <v>13</v>
      </c>
      <c r="I18" s="22">
        <v>1928</v>
      </c>
      <c r="J18" s="6"/>
      <c r="K18" s="40">
        <v>0.80555555555555547</v>
      </c>
      <c r="L18" s="80"/>
      <c r="M18" s="80"/>
      <c r="N18" s="50"/>
      <c r="O18" s="3" t="s">
        <v>18</v>
      </c>
      <c r="P18" s="26"/>
      <c r="S18" s="49"/>
    </row>
    <row r="19" spans="1:19" s="3" customFormat="1" ht="18" customHeight="1" x14ac:dyDescent="0.15">
      <c r="A19" s="37">
        <v>19</v>
      </c>
      <c r="B19" s="53">
        <v>15</v>
      </c>
      <c r="C19" s="76">
        <v>1921</v>
      </c>
      <c r="D19" s="103"/>
      <c r="E19" s="43">
        <v>0.54513888888888895</v>
      </c>
      <c r="F19" s="77"/>
      <c r="G19" s="78" t="s">
        <v>28</v>
      </c>
      <c r="H19" s="55">
        <f>B24</f>
        <v>20</v>
      </c>
      <c r="I19" s="31">
        <v>1930</v>
      </c>
      <c r="J19" s="5"/>
      <c r="K19" s="32">
        <v>0.84722222222222221</v>
      </c>
      <c r="L19" s="22"/>
      <c r="M19" s="22"/>
      <c r="N19" s="65"/>
      <c r="P19" s="26"/>
      <c r="S19" s="49"/>
    </row>
    <row r="20" spans="1:19" s="3" customFormat="1" ht="18" customHeight="1" thickBot="1" x14ac:dyDescent="0.2">
      <c r="A20" s="37">
        <v>11</v>
      </c>
      <c r="B20" s="79">
        <v>16</v>
      </c>
      <c r="C20" s="80">
        <v>1923</v>
      </c>
      <c r="D20" s="107"/>
      <c r="E20" s="81">
        <v>0.58680555555555558</v>
      </c>
      <c r="F20" s="80"/>
      <c r="G20" s="78" t="s">
        <v>27</v>
      </c>
      <c r="H20" s="34">
        <f>B22</f>
        <v>18</v>
      </c>
      <c r="I20" s="22">
        <v>1932</v>
      </c>
      <c r="J20" s="10"/>
      <c r="K20" s="32">
        <v>0.90277777777777779</v>
      </c>
      <c r="L20" s="31"/>
      <c r="M20" s="31"/>
      <c r="N20" s="65"/>
      <c r="S20" s="49"/>
    </row>
    <row r="21" spans="1:19" s="3" customFormat="1" ht="18" customHeight="1" thickTop="1" thickBot="1" x14ac:dyDescent="0.2">
      <c r="A21" s="37">
        <v>17</v>
      </c>
      <c r="B21" s="53">
        <v>17</v>
      </c>
      <c r="C21" s="76">
        <v>1925</v>
      </c>
      <c r="D21" s="109"/>
      <c r="E21" s="43">
        <v>0.62847222222222221</v>
      </c>
      <c r="F21" s="80"/>
      <c r="G21" s="82" t="s">
        <v>25</v>
      </c>
      <c r="H21" s="42">
        <f>B23</f>
        <v>19</v>
      </c>
      <c r="I21" s="39">
        <v>1181</v>
      </c>
      <c r="J21" s="12"/>
      <c r="K21" s="40">
        <v>0.90833333333333333</v>
      </c>
      <c r="L21" s="22"/>
      <c r="M21" s="83"/>
      <c r="N21" s="50"/>
      <c r="S21" s="49"/>
    </row>
    <row r="22" spans="1:19" s="3" customFormat="1" ht="18" customHeight="1" thickTop="1" thickBot="1" x14ac:dyDescent="0.2">
      <c r="A22" s="37">
        <v>18</v>
      </c>
      <c r="B22" s="79">
        <v>18</v>
      </c>
      <c r="C22" s="80">
        <v>1927</v>
      </c>
      <c r="D22" s="104"/>
      <c r="E22" s="84">
        <v>0.67013888888888884</v>
      </c>
      <c r="F22" s="77"/>
      <c r="G22" s="82" t="s">
        <v>29</v>
      </c>
      <c r="H22" s="42">
        <f>B20</f>
        <v>16</v>
      </c>
      <c r="I22" s="39">
        <v>1188</v>
      </c>
      <c r="J22" s="16"/>
      <c r="K22" s="40">
        <v>0.9350694444444444</v>
      </c>
      <c r="L22" s="22"/>
      <c r="M22" s="83"/>
      <c r="N22" s="50"/>
      <c r="S22" s="49"/>
    </row>
    <row r="23" spans="1:19" s="3" customFormat="1" ht="18" customHeight="1" thickTop="1" thickBot="1" x14ac:dyDescent="0.2">
      <c r="A23" s="37">
        <v>13</v>
      </c>
      <c r="B23" s="85">
        <v>19</v>
      </c>
      <c r="C23" s="76">
        <v>1929</v>
      </c>
      <c r="D23" s="19"/>
      <c r="E23" s="86">
        <v>0.71180555555555547</v>
      </c>
      <c r="F23" s="80"/>
      <c r="G23" s="41" t="s">
        <v>24</v>
      </c>
      <c r="H23" s="42">
        <f>B28</f>
        <v>24</v>
      </c>
      <c r="I23" s="39">
        <v>1197</v>
      </c>
      <c r="J23" s="15"/>
      <c r="K23" s="87">
        <v>0.98124999999999996</v>
      </c>
      <c r="L23" s="22"/>
      <c r="M23" s="22"/>
      <c r="N23" s="50"/>
      <c r="S23" s="49"/>
    </row>
    <row r="24" spans="1:19" s="3" customFormat="1" ht="18" customHeight="1" thickTop="1" thickBot="1" x14ac:dyDescent="0.2">
      <c r="A24" s="37">
        <v>20</v>
      </c>
      <c r="B24" s="79">
        <v>20</v>
      </c>
      <c r="C24" s="80">
        <v>1931</v>
      </c>
      <c r="D24" s="110"/>
      <c r="E24" s="88">
        <v>0.73263888888888884</v>
      </c>
      <c r="F24" s="80"/>
      <c r="G24" s="75" t="s">
        <v>25</v>
      </c>
      <c r="H24" s="42">
        <f>B18</f>
        <v>14</v>
      </c>
      <c r="I24" s="22">
        <v>1934</v>
      </c>
      <c r="J24" s="13"/>
      <c r="K24" s="45">
        <v>0.98263888888888884</v>
      </c>
      <c r="L24" s="22"/>
      <c r="M24" s="27"/>
      <c r="N24" s="50"/>
      <c r="S24" s="49"/>
    </row>
    <row r="25" spans="1:19" s="3" customFormat="1" ht="18" customHeight="1" thickTop="1" thickBot="1" x14ac:dyDescent="0.2">
      <c r="A25" s="37">
        <v>23</v>
      </c>
      <c r="B25" s="53">
        <v>21</v>
      </c>
      <c r="C25" s="76">
        <v>1933</v>
      </c>
      <c r="D25" s="17"/>
      <c r="E25" s="88">
        <v>0.75347222222222221</v>
      </c>
      <c r="F25" s="80"/>
      <c r="G25" s="76" t="s">
        <v>29</v>
      </c>
      <c r="H25" s="42">
        <f>B27</f>
        <v>23</v>
      </c>
      <c r="I25" s="39">
        <v>1199</v>
      </c>
      <c r="J25" s="8"/>
      <c r="K25" s="40">
        <v>0.9916666666666667</v>
      </c>
      <c r="L25" s="22"/>
      <c r="M25" s="22"/>
      <c r="N25" s="50"/>
      <c r="S25" s="49"/>
    </row>
    <row r="26" spans="1:19" s="3" customFormat="1" ht="18" customHeight="1" thickTop="1" thickBot="1" x14ac:dyDescent="0.2">
      <c r="A26" s="37">
        <v>14</v>
      </c>
      <c r="B26" s="89">
        <v>22</v>
      </c>
      <c r="C26" s="80">
        <v>1935</v>
      </c>
      <c r="D26" s="19"/>
      <c r="E26" s="52">
        <v>0.79513888888888884</v>
      </c>
      <c r="F26" s="72"/>
      <c r="G26" s="33" t="s">
        <v>24</v>
      </c>
      <c r="H26" s="27">
        <f>B25</f>
        <v>21</v>
      </c>
      <c r="I26" s="22">
        <v>1936</v>
      </c>
      <c r="J26" s="9"/>
      <c r="K26" s="45">
        <v>0.99305555555555547</v>
      </c>
      <c r="L26" s="22"/>
      <c r="M26" s="31"/>
      <c r="N26" s="50"/>
      <c r="S26" s="49"/>
    </row>
    <row r="27" spans="1:19" s="3" customFormat="1" ht="18" customHeight="1" thickTop="1" thickBot="1" x14ac:dyDescent="0.2">
      <c r="A27" s="37">
        <v>21</v>
      </c>
      <c r="B27" s="85">
        <v>23</v>
      </c>
      <c r="C27" s="39">
        <v>1937</v>
      </c>
      <c r="D27" s="17"/>
      <c r="E27" s="45">
        <v>0.83680555555555547</v>
      </c>
      <c r="F27" s="31"/>
      <c r="G27" s="65" t="s">
        <v>30</v>
      </c>
      <c r="H27" s="56">
        <f>B26</f>
        <v>22</v>
      </c>
      <c r="I27" s="39">
        <v>1201</v>
      </c>
      <c r="J27" s="8"/>
      <c r="K27" s="40">
        <v>1.0027777777777778</v>
      </c>
      <c r="L27" s="22"/>
      <c r="M27" s="31"/>
      <c r="N27" s="50"/>
    </row>
    <row r="28" spans="1:19" s="3" customFormat="1" ht="18" customHeight="1" thickTop="1" thickBot="1" x14ac:dyDescent="0.2">
      <c r="A28" s="66">
        <v>15</v>
      </c>
      <c r="B28" s="89">
        <v>24</v>
      </c>
      <c r="C28" s="62">
        <v>1939</v>
      </c>
      <c r="D28" s="18"/>
      <c r="E28" s="90">
        <v>0.8965277777777777</v>
      </c>
      <c r="F28" s="46"/>
      <c r="G28" s="91" t="s">
        <v>26</v>
      </c>
      <c r="H28" s="92">
        <f>B19</f>
        <v>15</v>
      </c>
      <c r="I28" s="62">
        <v>1938</v>
      </c>
      <c r="J28" s="9"/>
      <c r="K28" s="90">
        <v>1.0034722222222223</v>
      </c>
      <c r="L28" s="62"/>
      <c r="M28" s="46"/>
      <c r="N28" s="48"/>
    </row>
    <row r="29" spans="1:19" ht="14.25" customHeight="1" thickTop="1" thickBot="1" x14ac:dyDescent="0.2">
      <c r="A29" s="124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6"/>
    </row>
    <row r="30" spans="1:19" ht="22.5" customHeight="1" thickTop="1" x14ac:dyDescent="0.15">
      <c r="A30" s="127" t="s">
        <v>10</v>
      </c>
      <c r="B30" s="128"/>
      <c r="C30" s="141" t="s">
        <v>11</v>
      </c>
      <c r="D30" s="94" t="s">
        <v>15</v>
      </c>
      <c r="E30" s="143"/>
      <c r="F30" s="144"/>
      <c r="G30" s="145"/>
      <c r="H30" s="146" t="s">
        <v>16</v>
      </c>
      <c r="I30" s="141"/>
      <c r="J30" s="154"/>
      <c r="K30" s="155"/>
      <c r="L30" s="155"/>
      <c r="M30" s="155"/>
      <c r="N30" s="156"/>
    </row>
    <row r="31" spans="1:19" ht="22.5" customHeight="1" x14ac:dyDescent="0.15">
      <c r="A31" s="129"/>
      <c r="B31" s="130"/>
      <c r="C31" s="142"/>
      <c r="D31" s="96" t="s">
        <v>9</v>
      </c>
      <c r="E31" s="148"/>
      <c r="F31" s="149"/>
      <c r="G31" s="150"/>
      <c r="H31" s="147"/>
      <c r="I31" s="142"/>
      <c r="J31" s="157"/>
      <c r="K31" s="158"/>
      <c r="L31" s="158"/>
      <c r="M31" s="158"/>
      <c r="N31" s="159"/>
    </row>
    <row r="32" spans="1:19" ht="22.5" customHeight="1" x14ac:dyDescent="0.15">
      <c r="A32" s="129"/>
      <c r="B32" s="130"/>
      <c r="C32" s="95" t="s">
        <v>17</v>
      </c>
      <c r="D32" s="151"/>
      <c r="E32" s="152"/>
      <c r="F32" s="152"/>
      <c r="G32" s="153"/>
      <c r="H32" s="147" t="s">
        <v>13</v>
      </c>
      <c r="I32" s="142"/>
      <c r="J32" s="116"/>
      <c r="K32" s="160"/>
      <c r="L32" s="95" t="s">
        <v>34</v>
      </c>
      <c r="M32" s="116"/>
      <c r="N32" s="117"/>
    </row>
    <row r="33" spans="1:14" ht="30.75" customHeight="1" thickBot="1" x14ac:dyDescent="0.2">
      <c r="A33" s="131"/>
      <c r="B33" s="132"/>
      <c r="C33" s="97" t="s">
        <v>12</v>
      </c>
      <c r="D33" s="133"/>
      <c r="E33" s="134"/>
      <c r="F33" s="97" t="s">
        <v>32</v>
      </c>
      <c r="G33" s="98"/>
      <c r="H33" s="135" t="s">
        <v>14</v>
      </c>
      <c r="I33" s="136"/>
      <c r="J33" s="138"/>
      <c r="K33" s="139"/>
      <c r="L33" s="139"/>
      <c r="M33" s="139"/>
      <c r="N33" s="140"/>
    </row>
    <row r="34" spans="1:14" ht="11.25" thickTop="1" x14ac:dyDescent="0.15">
      <c r="B34" s="99"/>
      <c r="G34" s="93" t="s">
        <v>18</v>
      </c>
    </row>
    <row r="35">
      <c r="G35" s="98"/>
    </row>
  </sheetData>
  <mergeCells count="19">
    <mergeCell ref="A1:N1"/>
    <mergeCell ref="J33:N33"/>
    <mergeCell ref="C30:C31"/>
    <mergeCell ref="E30:G30"/>
    <mergeCell ref="H30:I31"/>
    <mergeCell ref="E31:G31"/>
    <mergeCell ref="D32:G32"/>
    <mergeCell ref="H32:I32"/>
    <mergeCell ref="J30:N31"/>
    <mergeCell ref="J32:K32"/>
    <mergeCell ref="H2:N2"/>
    <mergeCell ref="H3:N3"/>
    <mergeCell ref="M32:N32"/>
    <mergeCell ref="A2:G2"/>
    <mergeCell ref="A3:G3"/>
    <mergeCell ref="A29:N29"/>
    <mergeCell ref="A30:B33"/>
    <mergeCell ref="D33:E33"/>
    <mergeCell ref="H33:I33"/>
  </mergeCells>
  <phoneticPr fontId="1" type="noConversion"/>
  <printOptions horizontalCentered="1"/>
  <pageMargins left="0.19685039370078741" right="0" top="0.74803149606299213" bottom="0.74803149606299213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휴일</vt:lpstr>
      <vt:lpstr>휴일!Print_Area</vt:lpstr>
    </vt:vector>
  </TitlesOfParts>
  <Company>조폭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</dc:creator>
  <cp:lastModifiedBy>user</cp:lastModifiedBy>
  <cp:lastPrinted>2026-06-13T11:49:17Z</cp:lastPrinted>
  <dcterms:created xsi:type="dcterms:W3CDTF">2004-02-28T01:15:00Z</dcterms:created>
  <dcterms:modified xsi:type="dcterms:W3CDTF">2026-06-21T01:58:18Z</dcterms:modified>
</cp:coreProperties>
</file>