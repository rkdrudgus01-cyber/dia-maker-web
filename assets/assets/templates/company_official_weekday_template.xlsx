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교체백업(20240326)\백업(20180320)\data_backup\D\운영BackUp\갑,을,병 문서\백지원\다이아 시트\"/>
    </mc:Choice>
  </mc:AlternateContent>
  <xr:revisionPtr revIDLastSave="0" documentId="8_{B31ECD9A-6FC7-457A-930A-1CC2403D7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평일" sheetId="1" r:id="rId1"/>
  </sheets>
  <definedNames>
    <definedName name="_xlnm._FilterDatabase" localSheetId="0" hidden="1">평일!$A$4:$N$4</definedName>
    <definedName name="_xlnm.Print_Area" localSheetId="0">평일!$A$1:$N$36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30" i="1"/>
  <c r="J29" i="1"/>
  <c r="J28" i="1"/>
  <c r="J27" i="1"/>
  <c r="J26" i="1"/>
  <c r="J25" i="1"/>
  <c r="J24" i="1"/>
  <c r="J23" i="1"/>
  <c r="J22" i="1"/>
  <c r="J21" i="1"/>
  <c r="J20" i="1"/>
  <c r="J19" i="1"/>
  <c r="J7" i="1"/>
  <c r="J11" i="1"/>
  <c r="J10" i="1"/>
  <c r="J12" i="1" l="1"/>
  <c r="J17" i="1"/>
  <c r="H5" i="1" l="1"/>
  <c r="H6" i="1"/>
  <c r="J6" i="1"/>
  <c r="H7" i="1"/>
  <c r="H8" i="1"/>
  <c r="J8" i="1"/>
  <c r="H9" i="1"/>
  <c r="J9" i="1"/>
  <c r="H10" i="1"/>
  <c r="H11" i="1"/>
  <c r="H12" i="1"/>
  <c r="H13" i="1"/>
  <c r="J13" i="1"/>
  <c r="H14" i="1"/>
  <c r="J14" i="1"/>
  <c r="H15" i="1"/>
  <c r="J15" i="1"/>
  <c r="H16" i="1"/>
  <c r="J16" i="1"/>
  <c r="H17" i="1"/>
  <c r="H18" i="1"/>
  <c r="J18" i="1"/>
  <c r="H19" i="1"/>
  <c r="H20" i="1"/>
  <c r="H29" i="1" l="1"/>
  <c r="H30" i="1"/>
  <c r="H28" i="1"/>
  <c r="H27" i="1"/>
  <c r="H26" i="1"/>
  <c r="H25" i="1"/>
  <c r="H24" i="1"/>
  <c r="H23" i="1"/>
  <c r="H22" i="1"/>
  <c r="H21" i="1"/>
</calcChain>
</file>

<file path=xl/sharedStrings.xml><?xml version="1.0" encoding="utf-8"?>
<sst xmlns="http://schemas.openxmlformats.org/spreadsheetml/2006/main" count="73" uniqueCount="54">
  <si>
    <t xml:space="preserve">                                                                평일  </t>
    <phoneticPr fontId="1" type="noConversion"/>
  </si>
  <si>
    <t>출고열차</t>
    <phoneticPr fontId="1" type="noConversion"/>
  </si>
  <si>
    <t>입고열차</t>
    <rPh sb="0" eb="1">
      <t>입고열차</t>
    </rPh>
    <phoneticPr fontId="1" type="noConversion"/>
  </si>
  <si>
    <t>DIA</t>
    <phoneticPr fontId="1" type="noConversion"/>
  </si>
  <si>
    <t>열번</t>
    <phoneticPr fontId="1" type="noConversion"/>
  </si>
  <si>
    <t>편성</t>
    <phoneticPr fontId="1" type="noConversion"/>
  </si>
  <si>
    <t>출고시간</t>
    <phoneticPr fontId="1" type="noConversion"/>
  </si>
  <si>
    <t>유치선</t>
    <phoneticPr fontId="1" type="noConversion"/>
  </si>
  <si>
    <t>비고</t>
    <phoneticPr fontId="1" type="noConversion"/>
  </si>
  <si>
    <t>입고시간</t>
    <phoneticPr fontId="1" type="noConversion"/>
  </si>
  <si>
    <t>옥동2</t>
    <phoneticPr fontId="1" type="noConversion"/>
  </si>
  <si>
    <t>옥동1</t>
    <phoneticPr fontId="1" type="noConversion"/>
  </si>
  <si>
    <t xml:space="preserve"> </t>
    <phoneticPr fontId="1" type="noConversion"/>
  </si>
  <si>
    <t>옥동3</t>
    <phoneticPr fontId="1" type="noConversion"/>
  </si>
  <si>
    <t>옥동4</t>
    <phoneticPr fontId="1" type="noConversion"/>
  </si>
  <si>
    <t>일상검사</t>
    <phoneticPr fontId="1" type="noConversion"/>
  </si>
  <si>
    <t>주간</t>
    <phoneticPr fontId="1" type="noConversion"/>
  </si>
  <si>
    <t>월상검사</t>
    <phoneticPr fontId="1" type="noConversion"/>
  </si>
  <si>
    <t>대청소</t>
    <phoneticPr fontId="1" type="noConversion"/>
  </si>
  <si>
    <t>중정비</t>
    <phoneticPr fontId="1" type="noConversion"/>
  </si>
  <si>
    <t>마모</t>
    <phoneticPr fontId="1" type="noConversion"/>
  </si>
  <si>
    <t>옥동1</t>
    <phoneticPr fontId="1" type="noConversion"/>
  </si>
  <si>
    <t>옥동2</t>
    <phoneticPr fontId="1" type="noConversion"/>
  </si>
  <si>
    <t>옥동3</t>
    <phoneticPr fontId="1" type="noConversion"/>
  </si>
  <si>
    <t>전월이월금</t>
    <phoneticPr fontId="2" type="noConversion"/>
  </si>
  <si>
    <t>예비차</t>
    <phoneticPr fontId="1" type="noConversion"/>
  </si>
  <si>
    <t>야간</t>
    <phoneticPr fontId="1" type="noConversion"/>
  </si>
  <si>
    <t>3.5회</t>
  </si>
  <si>
    <t>옥동</t>
    <phoneticPr fontId="1" type="noConversion"/>
  </si>
  <si>
    <t>4회</t>
  </si>
  <si>
    <t>8회</t>
  </si>
  <si>
    <t>8.5회</t>
  </si>
  <si>
    <t>5회</t>
  </si>
  <si>
    <t>7회</t>
  </si>
  <si>
    <t>4.5회</t>
  </si>
  <si>
    <t>연번</t>
    <phoneticPr fontId="1" type="noConversion"/>
  </si>
  <si>
    <t>연번</t>
    <phoneticPr fontId="1" type="noConversion"/>
  </si>
  <si>
    <t>기술연구</t>
    <phoneticPr fontId="1" type="noConversion"/>
  </si>
  <si>
    <t>유치선</t>
    <phoneticPr fontId="1" type="noConversion"/>
  </si>
  <si>
    <t>금일검종</t>
    <phoneticPr fontId="1" type="noConversion"/>
  </si>
  <si>
    <t xml:space="preserve"> </t>
    <phoneticPr fontId="1" type="noConversion"/>
  </si>
  <si>
    <t>다운로드</t>
    <phoneticPr fontId="1" type="noConversion"/>
  </si>
  <si>
    <t>2.5회</t>
  </si>
  <si>
    <t>6.5회</t>
  </si>
  <si>
    <t>5.5회</t>
  </si>
  <si>
    <t>전 동 차  일 일 입 출 고 계 획</t>
    <phoneticPr fontId="1" type="noConversion"/>
  </si>
  <si>
    <t>비상대기</t>
    <phoneticPr fontId="1" type="noConversion"/>
  </si>
  <si>
    <t>특기사항</t>
    <phoneticPr fontId="1" type="noConversion"/>
  </si>
  <si>
    <t>3회</t>
  </si>
  <si>
    <t>2회</t>
  </si>
  <si>
    <t>10회</t>
  </si>
  <si>
    <t>1회</t>
  </si>
  <si>
    <t>11회</t>
  </si>
  <si>
    <t>6회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</si>
</sst>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[hh]:mm"/>
    <numFmt numFmtId="178" formatCode="hh:mm"/>
  </numFmts>
  <fonts count="1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2"/>
      <color indexed="12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20"/>
      <name val="맑은 고딕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7" fontId="6" fillId="0" borderId="8" xfId="0" applyNumberFormat="1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/>
    </xf>
    <xf numFmtId="177" fontId="6" fillId="2" borderId="9" xfId="0" applyNumberFormat="1" applyFont="1" applyFill="1" applyBorder="1" applyAlignment="1">
      <alignment horizontal="right" vertical="center"/>
    </xf>
    <xf numFmtId="0" fontId="7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77" fontId="6" fillId="0" borderId="15" xfId="0" applyNumberFormat="1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177" fontId="6" fillId="0" borderId="11" xfId="0" applyNumberFormat="1" applyFont="1" applyFill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8" fontId="6" fillId="0" borderId="11" xfId="0" applyNumberFormat="1" applyFont="1" applyFill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39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9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77" fontId="6" fillId="0" borderId="17" xfId="0" applyNumberFormat="1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center" vertical="center" shrinkToFit="1"/>
    </xf>
    <xf numFmtId="0" fontId="6" fillId="0" borderId="29" xfId="0" applyFont="1" applyFill="1" applyBorder="1" applyAlignment="1">
      <alignment horizontal="center" vertical="center"/>
    </xf>
    <xf numFmtId="177" fontId="6" fillId="0" borderId="30" xfId="0" applyNumberFormat="1" applyFont="1" applyFill="1" applyBorder="1" applyAlignment="1">
      <alignment horizontal="right" vertical="center"/>
    </xf>
    <xf numFmtId="0" fontId="6" fillId="3" borderId="22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177" fontId="6" fillId="0" borderId="23" xfId="0" applyNumberFormat="1" applyFont="1" applyFill="1" applyBorder="1" applyAlignment="1">
      <alignment horizontal="right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177" fontId="6" fillId="0" borderId="26" xfId="0" applyNumberFormat="1" applyFont="1" applyFill="1" applyBorder="1" applyAlignment="1">
      <alignment horizontal="right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quotePrefix="1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shrinkToFit="1"/>
    </xf>
    <xf numFmtId="3" fontId="9" fillId="0" borderId="4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11" fillId="0" borderId="32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6" fillId="0" borderId="40" xfId="0" applyNumberFormat="1" applyFont="1" applyBorder="1" applyAlignment="1">
      <alignment horizontal="left" vertical="center"/>
    </xf>
    <xf numFmtId="176" fontId="6" fillId="0" borderId="32" xfId="0" applyNumberFormat="1" applyFont="1" applyBorder="1" applyAlignment="1">
      <alignment horizontal="left" vertical="center"/>
    </xf>
    <xf numFmtId="176" fontId="6" fillId="0" borderId="33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3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5" fillId="0" borderId="25" xfId="0" quotePrefix="1" applyNumberFormat="1" applyFont="1" applyFill="1" applyBorder="1" applyAlignment="1">
      <alignment horizontal="center" vertical="center" wrapText="1"/>
    </xf>
    <xf numFmtId="49" fontId="5" fillId="0" borderId="46" xfId="0" applyNumberFormat="1" applyFont="1" applyFill="1" applyBorder="1" applyAlignment="1">
      <alignment horizontal="center" vertical="center"/>
    </xf>
    <xf numFmtId="49" fontId="5" fillId="0" borderId="37" xfId="0" applyNumberFormat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3" fontId="5" fillId="0" borderId="11" xfId="0" quotePrefix="1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4" xfId="0" quotePrefix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16062"/>
  <sheetViews>
    <sheetView showZeros="0" tabSelected="1" zoomScaleNormal="100" zoomScaleSheetLayoutView="100" workbookViewId="0">
      <selection activeCell="M25" sqref="M25"/>
    </sheetView>
  </sheetViews>
  <sheetFormatPr defaultRowHeight="10.5" x14ac:dyDescent="0.15"/>
  <cols>
    <col min="1" max="2" width="3.88671875" style="23" customWidth="1"/>
    <col min="3" max="3" width="5.5546875" style="23" customWidth="1"/>
    <col min="4" max="4" width="4.88671875" style="23" customWidth="1"/>
    <col min="5" max="5" width="8" style="90" customWidth="1"/>
    <col min="6" max="6" width="6.6640625" style="91" bestFit="1" customWidth="1"/>
    <col min="7" max="7" width="5.44140625" style="23" customWidth="1"/>
    <col min="8" max="8" width="4.109375" style="23" bestFit="1" customWidth="1"/>
    <col min="9" max="9" width="5.5546875" style="23" bestFit="1" customWidth="1"/>
    <col min="10" max="10" width="5.33203125" style="23" bestFit="1" customWidth="1"/>
    <col min="11" max="11" width="7.88671875" style="90" customWidth="1"/>
    <col min="12" max="12" width="6.88671875" style="23" bestFit="1" customWidth="1"/>
    <col min="13" max="13" width="8.6640625" style="23" bestFit="1" customWidth="1"/>
    <col min="14" max="14" width="5.77734375" style="23" bestFit="1" customWidth="1"/>
    <col min="15" max="15" width="8.88671875" style="23"/>
    <col min="16" max="16" width="8.88671875" style="23" customWidth="1"/>
    <col min="17" max="16384" width="8.88671875" style="23"/>
  </cols>
  <sheetData>
    <row r="1" spans="1:18" ht="42" customHeight="1" thickBot="1" x14ac:dyDescent="0.2">
      <c r="A1" s="97" t="s">
        <v>45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8" s="24" customFormat="1" ht="25.5" customHeight="1" thickTop="1" thickBot="1" x14ac:dyDescent="0.2">
      <c r="A2" s="98">
        <v>46119</v>
      </c>
      <c r="B2" s="99"/>
      <c r="C2" s="99"/>
      <c r="D2" s="99"/>
      <c r="E2" s="99"/>
      <c r="F2" s="99"/>
      <c r="G2" s="100"/>
      <c r="H2" s="101" t="s">
        <v>0</v>
      </c>
      <c r="I2" s="101"/>
      <c r="J2" s="101"/>
      <c r="K2" s="101"/>
      <c r="L2" s="101"/>
      <c r="M2" s="101"/>
      <c r="N2" s="102"/>
    </row>
    <row r="3" spans="1:18" s="24" customFormat="1" ht="20.25" thickTop="1" thickBot="1" x14ac:dyDescent="0.2">
      <c r="A3" s="103" t="s">
        <v>1</v>
      </c>
      <c r="B3" s="104"/>
      <c r="C3" s="104"/>
      <c r="D3" s="104"/>
      <c r="E3" s="104"/>
      <c r="F3" s="104"/>
      <c r="G3" s="105"/>
      <c r="H3" s="106" t="s">
        <v>2</v>
      </c>
      <c r="I3" s="107"/>
      <c r="J3" s="107"/>
      <c r="K3" s="107"/>
      <c r="L3" s="107"/>
      <c r="M3" s="107"/>
      <c r="N3" s="107"/>
    </row>
    <row r="4" spans="1:18" s="7" customFormat="1" ht="20.25" customHeight="1" thickTop="1" thickBot="1" x14ac:dyDescent="0.2">
      <c r="A4" s="10" t="s">
        <v>3</v>
      </c>
      <c r="B4" s="1" t="s">
        <v>35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  <c r="H4" s="9" t="s">
        <v>36</v>
      </c>
      <c r="I4" s="1" t="s">
        <v>4</v>
      </c>
      <c r="J4" s="3" t="s">
        <v>5</v>
      </c>
      <c r="K4" s="2" t="s">
        <v>9</v>
      </c>
      <c r="L4" s="1" t="s">
        <v>38</v>
      </c>
      <c r="M4" s="1" t="s">
        <v>39</v>
      </c>
      <c r="N4" s="1" t="s">
        <v>8</v>
      </c>
    </row>
    <row r="5" spans="1:18" s="7" customFormat="1" ht="18" customHeight="1" thickTop="1" thickBot="1" x14ac:dyDescent="0.2">
      <c r="A5" s="25">
        <v>14</v>
      </c>
      <c r="B5" s="26">
        <v>1</v>
      </c>
      <c r="C5" s="27">
        <v>1901</v>
      </c>
      <c r="D5" s="15"/>
      <c r="E5" s="28">
        <v>0.22222222222222221</v>
      </c>
      <c r="F5" s="17"/>
      <c r="G5" s="29" t="s">
        <v>48</v>
      </c>
      <c r="H5" s="30">
        <f>B7</f>
        <v>3</v>
      </c>
      <c r="I5" s="4">
        <v>1902</v>
      </c>
      <c r="J5" s="95">
        <f>D7</f>
        <v>0</v>
      </c>
      <c r="K5" s="31">
        <v>0.35069444444444442</v>
      </c>
      <c r="L5" s="32"/>
      <c r="M5" s="33"/>
      <c r="N5" s="34"/>
      <c r="P5" s="35"/>
    </row>
    <row r="6" spans="1:18" s="7" customFormat="1" ht="18" customHeight="1" thickTop="1" thickBot="1" x14ac:dyDescent="0.2">
      <c r="A6" s="36">
        <v>26</v>
      </c>
      <c r="B6" s="37">
        <v>2</v>
      </c>
      <c r="C6" s="38">
        <v>1002</v>
      </c>
      <c r="D6" s="22"/>
      <c r="E6" s="39">
        <v>0.22673611111111111</v>
      </c>
      <c r="F6" s="18" t="s">
        <v>11</v>
      </c>
      <c r="G6" s="49" t="s">
        <v>27</v>
      </c>
      <c r="H6" s="41">
        <f>B16</f>
        <v>12</v>
      </c>
      <c r="I6" s="21">
        <v>1904</v>
      </c>
      <c r="J6" s="12">
        <f>D16</f>
        <v>0</v>
      </c>
      <c r="K6" s="42">
        <v>0.36458333333333331</v>
      </c>
      <c r="M6" s="33"/>
      <c r="N6" s="43"/>
    </row>
    <row r="7" spans="1:18" s="7" customFormat="1" ht="18" customHeight="1" thickTop="1" thickBot="1" x14ac:dyDescent="0.2">
      <c r="A7" s="36">
        <v>3</v>
      </c>
      <c r="B7" s="37">
        <v>3</v>
      </c>
      <c r="C7" s="38">
        <v>1903</v>
      </c>
      <c r="D7" s="16"/>
      <c r="E7" s="39">
        <v>0.23611111111111113</v>
      </c>
      <c r="F7" s="18"/>
      <c r="G7" s="29" t="s">
        <v>49</v>
      </c>
      <c r="H7" s="41">
        <f>B17</f>
        <v>13</v>
      </c>
      <c r="I7" s="21">
        <v>1906</v>
      </c>
      <c r="J7" s="12">
        <f>D17</f>
        <v>0</v>
      </c>
      <c r="K7" s="42">
        <v>0.36805555555555558</v>
      </c>
      <c r="L7" s="32"/>
      <c r="M7" s="33"/>
      <c r="N7" s="44"/>
    </row>
    <row r="8" spans="1:18" s="7" customFormat="1" ht="18" customHeight="1" thickTop="1" thickBot="1" x14ac:dyDescent="0.2">
      <c r="A8" s="36">
        <v>4</v>
      </c>
      <c r="B8" s="26">
        <v>4</v>
      </c>
      <c r="C8" s="38">
        <v>1004</v>
      </c>
      <c r="D8" s="22"/>
      <c r="E8" s="39">
        <v>0.23715277777777777</v>
      </c>
      <c r="F8" s="18" t="s">
        <v>10</v>
      </c>
      <c r="G8" s="49" t="s">
        <v>42</v>
      </c>
      <c r="H8" s="45">
        <f>B11</f>
        <v>7</v>
      </c>
      <c r="I8" s="21">
        <v>1908</v>
      </c>
      <c r="J8" s="12">
        <f>D11</f>
        <v>0</v>
      </c>
      <c r="K8" s="46">
        <v>0.37152777777777773</v>
      </c>
      <c r="L8" s="32"/>
      <c r="M8" s="33"/>
      <c r="N8" s="47"/>
      <c r="P8" s="35"/>
    </row>
    <row r="9" spans="1:18" s="7" customFormat="1" ht="18" customHeight="1" thickTop="1" thickBot="1" x14ac:dyDescent="0.2">
      <c r="A9" s="36">
        <v>5</v>
      </c>
      <c r="B9" s="37">
        <v>5</v>
      </c>
      <c r="C9" s="38">
        <v>1905</v>
      </c>
      <c r="D9" s="16"/>
      <c r="E9" s="39">
        <v>0.24652777777777779</v>
      </c>
      <c r="F9" s="18"/>
      <c r="G9" s="40" t="s">
        <v>50</v>
      </c>
      <c r="H9" s="48">
        <f>B8</f>
        <v>4</v>
      </c>
      <c r="I9" s="21">
        <v>1910</v>
      </c>
      <c r="J9" s="12">
        <f>D8</f>
        <v>0</v>
      </c>
      <c r="K9" s="42">
        <v>0.38541666666666669</v>
      </c>
      <c r="L9" s="32"/>
      <c r="M9" s="33"/>
      <c r="N9" s="47" t="s">
        <v>22</v>
      </c>
      <c r="Q9" s="7" t="s">
        <v>12</v>
      </c>
    </row>
    <row r="10" spans="1:18" s="7" customFormat="1" ht="18" customHeight="1" thickTop="1" thickBot="1" x14ac:dyDescent="0.2">
      <c r="A10" s="36">
        <v>22</v>
      </c>
      <c r="B10" s="37">
        <v>6</v>
      </c>
      <c r="C10" s="38">
        <v>1006</v>
      </c>
      <c r="D10" s="22"/>
      <c r="E10" s="39">
        <v>0.24687499999999998</v>
      </c>
      <c r="F10" s="18" t="s">
        <v>13</v>
      </c>
      <c r="G10" s="49" t="s">
        <v>43</v>
      </c>
      <c r="H10" s="45">
        <f>B13</f>
        <v>9</v>
      </c>
      <c r="I10" s="21">
        <v>1912</v>
      </c>
      <c r="J10" s="142">
        <f>D13</f>
        <v>0</v>
      </c>
      <c r="K10" s="46">
        <v>203257.38888888888</v>
      </c>
      <c r="L10" s="32"/>
      <c r="M10" s="53"/>
      <c r="N10" s="47"/>
      <c r="O10" s="50"/>
    </row>
    <row r="11" spans="1:18" s="7" customFormat="1" ht="18" customHeight="1" thickTop="1" thickBot="1" x14ac:dyDescent="0.2">
      <c r="A11" s="36">
        <v>7</v>
      </c>
      <c r="B11" s="26">
        <v>7</v>
      </c>
      <c r="C11" s="38">
        <v>1907</v>
      </c>
      <c r="D11" s="13"/>
      <c r="E11" s="39">
        <v>0.25347222222222221</v>
      </c>
      <c r="F11" s="18"/>
      <c r="G11" s="49" t="s">
        <v>49</v>
      </c>
      <c r="H11" s="41">
        <f>B5</f>
        <v>1</v>
      </c>
      <c r="I11" s="4">
        <v>1914</v>
      </c>
      <c r="J11" s="143">
        <f>D5</f>
        <v>0</v>
      </c>
      <c r="K11" s="51">
        <v>0.39583333333333331</v>
      </c>
      <c r="L11" s="32"/>
      <c r="M11" s="52"/>
      <c r="N11" s="47"/>
    </row>
    <row r="12" spans="1:18" s="7" customFormat="1" ht="18" customHeight="1" thickTop="1" thickBot="1" x14ac:dyDescent="0.2">
      <c r="A12" s="36">
        <v>8</v>
      </c>
      <c r="B12" s="37">
        <v>8</v>
      </c>
      <c r="C12" s="38">
        <v>1010</v>
      </c>
      <c r="D12" s="22"/>
      <c r="E12" s="39">
        <v>0.26145833333333335</v>
      </c>
      <c r="F12" s="18" t="s">
        <v>14</v>
      </c>
      <c r="G12" s="49" t="s">
        <v>44</v>
      </c>
      <c r="H12" s="41">
        <f>B6</f>
        <v>2</v>
      </c>
      <c r="I12" s="21">
        <v>1916</v>
      </c>
      <c r="J12" s="12">
        <f>D6</f>
        <v>0</v>
      </c>
      <c r="K12" s="42">
        <v>0.4291666666666667</v>
      </c>
      <c r="L12" s="32"/>
      <c r="M12" s="33"/>
      <c r="N12" s="43" t="s">
        <v>21</v>
      </c>
    </row>
    <row r="13" spans="1:18" s="7" customFormat="1" ht="18" customHeight="1" thickTop="1" x14ac:dyDescent="0.15">
      <c r="A13" s="36">
        <v>9</v>
      </c>
      <c r="B13" s="37">
        <v>9</v>
      </c>
      <c r="C13" s="38">
        <v>1909</v>
      </c>
      <c r="D13" s="17"/>
      <c r="E13" s="39">
        <v>0.2673611111111111</v>
      </c>
      <c r="F13" s="94"/>
      <c r="G13" s="49" t="s">
        <v>49</v>
      </c>
      <c r="H13" s="41">
        <f>B15</f>
        <v>11</v>
      </c>
      <c r="I13" s="4">
        <v>1918</v>
      </c>
      <c r="J13" s="12">
        <f>D15</f>
        <v>0</v>
      </c>
      <c r="K13" s="42">
        <v>0.47083333333333338</v>
      </c>
      <c r="L13" s="32"/>
      <c r="M13" s="33"/>
      <c r="N13" s="43"/>
      <c r="P13" s="45"/>
      <c r="Q13" s="35"/>
      <c r="R13" s="35"/>
    </row>
    <row r="14" spans="1:18" s="7" customFormat="1" ht="18" customHeight="1" x14ac:dyDescent="0.15">
      <c r="A14" s="36">
        <v>10</v>
      </c>
      <c r="B14" s="26">
        <v>10</v>
      </c>
      <c r="C14" s="38">
        <v>1911</v>
      </c>
      <c r="D14" s="18"/>
      <c r="E14" s="39">
        <v>0.29166666666666669</v>
      </c>
      <c r="F14" s="94"/>
      <c r="G14" s="49" t="s">
        <v>29</v>
      </c>
      <c r="H14" s="30">
        <f>B14</f>
        <v>10</v>
      </c>
      <c r="I14" s="21">
        <v>1920</v>
      </c>
      <c r="J14" s="13">
        <f>D14</f>
        <v>0</v>
      </c>
      <c r="K14" s="42">
        <v>0.51249999999999996</v>
      </c>
      <c r="L14" s="32"/>
      <c r="M14" s="33"/>
      <c r="N14" s="54"/>
      <c r="P14" s="45"/>
      <c r="Q14" s="35"/>
      <c r="R14" s="35"/>
    </row>
    <row r="15" spans="1:18" s="7" customFormat="1" ht="18" customHeight="1" x14ac:dyDescent="0.15">
      <c r="A15" s="25">
        <v>13</v>
      </c>
      <c r="B15" s="37">
        <v>11</v>
      </c>
      <c r="C15" s="38">
        <v>1913</v>
      </c>
      <c r="D15" s="18"/>
      <c r="E15" s="39">
        <v>0.2986111111111111</v>
      </c>
      <c r="F15" s="19"/>
      <c r="G15" s="40" t="s">
        <v>48</v>
      </c>
      <c r="H15" s="41">
        <f>B19</f>
        <v>15</v>
      </c>
      <c r="I15" s="21">
        <v>1922</v>
      </c>
      <c r="J15" s="12">
        <f>D19</f>
        <v>0</v>
      </c>
      <c r="K15" s="39">
        <v>0.5541666666666667</v>
      </c>
      <c r="L15" s="32"/>
      <c r="M15" s="53"/>
      <c r="N15" s="47"/>
      <c r="P15" s="45"/>
      <c r="Q15" s="56"/>
      <c r="R15" s="35"/>
    </row>
    <row r="16" spans="1:18" s="7" customFormat="1" ht="18" customHeight="1" x14ac:dyDescent="0.15">
      <c r="A16" s="57">
        <v>1</v>
      </c>
      <c r="B16" s="18">
        <v>12</v>
      </c>
      <c r="C16" s="18">
        <v>1915</v>
      </c>
      <c r="D16" s="19"/>
      <c r="E16" s="28">
        <v>0.30902777777777779</v>
      </c>
      <c r="F16" s="94"/>
      <c r="G16" s="49" t="s">
        <v>51</v>
      </c>
      <c r="H16" s="41">
        <f>B12</f>
        <v>8</v>
      </c>
      <c r="I16" s="21">
        <v>1924</v>
      </c>
      <c r="J16" s="12">
        <f>D12</f>
        <v>0</v>
      </c>
      <c r="K16" s="42">
        <v>0.59583333333333333</v>
      </c>
      <c r="L16" s="32"/>
      <c r="M16" s="33"/>
      <c r="N16" s="47" t="s">
        <v>14</v>
      </c>
      <c r="P16" s="45"/>
      <c r="Q16" s="35"/>
      <c r="R16" s="35"/>
    </row>
    <row r="17" spans="1:18" s="7" customFormat="1" ht="18" customHeight="1" x14ac:dyDescent="0.15">
      <c r="A17" s="36">
        <v>2</v>
      </c>
      <c r="B17" s="26">
        <v>13</v>
      </c>
      <c r="C17" s="21">
        <v>1917</v>
      </c>
      <c r="D17" s="18"/>
      <c r="E17" s="42">
        <v>0.3125</v>
      </c>
      <c r="F17" s="18"/>
      <c r="G17" s="49" t="s">
        <v>51</v>
      </c>
      <c r="H17" s="41">
        <f>B10</f>
        <v>6</v>
      </c>
      <c r="I17" s="21">
        <v>1926</v>
      </c>
      <c r="J17" s="4">
        <f>D10</f>
        <v>0</v>
      </c>
      <c r="K17" s="42">
        <v>0.63750000000000007</v>
      </c>
      <c r="L17" s="21"/>
      <c r="M17" s="53"/>
      <c r="N17" s="47" t="s">
        <v>23</v>
      </c>
      <c r="P17" s="58"/>
      <c r="Q17" s="35"/>
      <c r="R17" s="35"/>
    </row>
    <row r="18" spans="1:18" s="7" customFormat="1" ht="18" customHeight="1" thickBot="1" x14ac:dyDescent="0.2">
      <c r="A18" s="36">
        <v>11</v>
      </c>
      <c r="B18" s="37">
        <v>14</v>
      </c>
      <c r="C18" s="21">
        <v>1919</v>
      </c>
      <c r="D18" s="18"/>
      <c r="E18" s="42">
        <v>0.32291666666666669</v>
      </c>
      <c r="F18" s="18"/>
      <c r="G18" s="40" t="s">
        <v>52</v>
      </c>
      <c r="H18" s="59">
        <f>B20</f>
        <v>16</v>
      </c>
      <c r="I18" s="55">
        <v>1928</v>
      </c>
      <c r="J18" s="96">
        <f>D20</f>
        <v>0</v>
      </c>
      <c r="K18" s="60">
        <v>0.6791666666666667</v>
      </c>
      <c r="L18" s="55"/>
      <c r="M18" s="61"/>
      <c r="N18" s="44"/>
      <c r="P18" s="56"/>
      <c r="Q18" s="35"/>
      <c r="R18" s="35"/>
    </row>
    <row r="19" spans="1:18" s="7" customFormat="1" ht="18" customHeight="1" thickTop="1" x14ac:dyDescent="0.15">
      <c r="A19" s="25">
        <v>15</v>
      </c>
      <c r="B19" s="37">
        <v>15</v>
      </c>
      <c r="C19" s="4">
        <v>1921</v>
      </c>
      <c r="D19" s="16"/>
      <c r="E19" s="51">
        <v>0.3263888888888889</v>
      </c>
      <c r="F19" s="16"/>
      <c r="G19" s="29" t="s">
        <v>29</v>
      </c>
      <c r="H19" s="62">
        <f>B23</f>
        <v>19</v>
      </c>
      <c r="I19" s="14">
        <v>1930</v>
      </c>
      <c r="J19" s="14">
        <f>D23</f>
        <v>0</v>
      </c>
      <c r="K19" s="63">
        <v>0.82777777777777783</v>
      </c>
      <c r="L19" s="63"/>
      <c r="M19" s="33"/>
      <c r="N19" s="34"/>
    </row>
    <row r="20" spans="1:18" s="7" customFormat="1" ht="18" customHeight="1" thickBot="1" x14ac:dyDescent="0.2">
      <c r="A20" s="64">
        <v>16</v>
      </c>
      <c r="B20" s="35">
        <v>16</v>
      </c>
      <c r="C20" s="65">
        <v>1923</v>
      </c>
      <c r="D20" s="20"/>
      <c r="E20" s="66">
        <v>0.33680555555555558</v>
      </c>
      <c r="F20" s="20"/>
      <c r="G20" s="68" t="s">
        <v>53</v>
      </c>
      <c r="H20" s="30">
        <f>B9</f>
        <v>5</v>
      </c>
      <c r="I20" s="4">
        <v>1932</v>
      </c>
      <c r="J20" s="13">
        <f>D9</f>
        <v>0</v>
      </c>
      <c r="K20" s="69">
        <v>0.83263888888888893</v>
      </c>
      <c r="L20" s="32"/>
      <c r="M20" s="33"/>
      <c r="N20" s="11" t="s">
        <v>41</v>
      </c>
    </row>
    <row r="21" spans="1:18" s="7" customFormat="1" ht="18" customHeight="1" thickTop="1" x14ac:dyDescent="0.15">
      <c r="A21" s="25">
        <v>17</v>
      </c>
      <c r="B21" s="70">
        <v>17</v>
      </c>
      <c r="C21" s="6">
        <v>1925</v>
      </c>
      <c r="D21" s="4"/>
      <c r="E21" s="51">
        <v>0.46180555555555558</v>
      </c>
      <c r="F21" s="71"/>
      <c r="G21" s="72" t="s">
        <v>30</v>
      </c>
      <c r="H21" s="30">
        <f>B25</f>
        <v>21</v>
      </c>
      <c r="I21" s="73">
        <v>1934</v>
      </c>
      <c r="J21" s="12">
        <f>D25</f>
        <v>0</v>
      </c>
      <c r="K21" s="69">
        <v>0.85277777777777775</v>
      </c>
      <c r="L21" s="32"/>
      <c r="M21" s="33"/>
      <c r="N21" s="74"/>
      <c r="P21" s="35"/>
    </row>
    <row r="22" spans="1:18" s="7" customFormat="1" ht="18" customHeight="1" thickBot="1" x14ac:dyDescent="0.2">
      <c r="A22" s="36">
        <v>6</v>
      </c>
      <c r="B22" s="75">
        <v>18</v>
      </c>
      <c r="C22" s="21">
        <v>1927</v>
      </c>
      <c r="D22" s="95"/>
      <c r="E22" s="39">
        <v>0.50347222222222221</v>
      </c>
      <c r="F22" s="32"/>
      <c r="G22" s="49" t="s">
        <v>31</v>
      </c>
      <c r="H22" s="41">
        <f>B21</f>
        <v>17</v>
      </c>
      <c r="I22" s="21">
        <v>1936</v>
      </c>
      <c r="J22" s="4">
        <f>D21</f>
        <v>0</v>
      </c>
      <c r="K22" s="42">
        <v>0.93055555555555547</v>
      </c>
      <c r="L22" s="21"/>
      <c r="M22" s="33"/>
      <c r="N22" s="47"/>
    </row>
    <row r="23" spans="1:18" s="7" customFormat="1" ht="18" customHeight="1" thickTop="1" thickBot="1" x14ac:dyDescent="0.2">
      <c r="A23" s="25">
        <v>19</v>
      </c>
      <c r="B23" s="26">
        <v>19</v>
      </c>
      <c r="C23" s="4">
        <v>1929</v>
      </c>
      <c r="D23" s="4"/>
      <c r="E23" s="51">
        <v>0.54513888888888895</v>
      </c>
      <c r="F23" s="6"/>
      <c r="G23" s="49" t="s">
        <v>32</v>
      </c>
      <c r="H23" s="41">
        <f>B26</f>
        <v>22</v>
      </c>
      <c r="I23" s="76">
        <v>1225</v>
      </c>
      <c r="J23" s="5">
        <f>D26</f>
        <v>0</v>
      </c>
      <c r="K23" s="39">
        <v>0.94166666666666676</v>
      </c>
      <c r="L23" s="21"/>
      <c r="M23" s="33"/>
      <c r="N23" s="47" t="s">
        <v>11</v>
      </c>
    </row>
    <row r="24" spans="1:18" s="7" customFormat="1" ht="18" customHeight="1" thickTop="1" thickBot="1" x14ac:dyDescent="0.2">
      <c r="A24" s="36">
        <v>18</v>
      </c>
      <c r="B24" s="37">
        <v>20</v>
      </c>
      <c r="C24" s="21">
        <v>1931</v>
      </c>
      <c r="D24" s="4"/>
      <c r="E24" s="42">
        <v>0.58680555555555558</v>
      </c>
      <c r="F24" s="21"/>
      <c r="G24" s="49" t="s">
        <v>33</v>
      </c>
      <c r="H24" s="41">
        <f>B18</f>
        <v>14</v>
      </c>
      <c r="I24" s="76">
        <v>1232</v>
      </c>
      <c r="J24" s="8">
        <f>D18</f>
        <v>0</v>
      </c>
      <c r="K24" s="42">
        <v>0.96805555555555556</v>
      </c>
      <c r="L24" s="21"/>
      <c r="M24" s="33"/>
      <c r="N24" s="47"/>
    </row>
    <row r="25" spans="1:18" s="7" customFormat="1" ht="18" customHeight="1" thickTop="1" thickBot="1" x14ac:dyDescent="0.2">
      <c r="A25" s="25">
        <v>12</v>
      </c>
      <c r="B25" s="37">
        <v>21</v>
      </c>
      <c r="C25" s="4">
        <v>1933</v>
      </c>
      <c r="D25" s="21"/>
      <c r="E25" s="42">
        <v>0.62847222222222221</v>
      </c>
      <c r="F25" s="4"/>
      <c r="G25" s="29" t="s">
        <v>29</v>
      </c>
      <c r="H25" s="41">
        <f>B29</f>
        <v>25</v>
      </c>
      <c r="I25" s="76">
        <v>1235</v>
      </c>
      <c r="J25" s="5">
        <f>D29</f>
        <v>0</v>
      </c>
      <c r="K25" s="39">
        <v>0.984375</v>
      </c>
      <c r="L25" s="21"/>
      <c r="M25" s="33"/>
      <c r="N25" s="47" t="s">
        <v>10</v>
      </c>
    </row>
    <row r="26" spans="1:18" s="7" customFormat="1" ht="18" customHeight="1" thickTop="1" thickBot="1" x14ac:dyDescent="0.2">
      <c r="A26" s="36">
        <v>21</v>
      </c>
      <c r="B26" s="77">
        <v>22</v>
      </c>
      <c r="C26" s="21">
        <v>1935</v>
      </c>
      <c r="D26" s="17"/>
      <c r="E26" s="42">
        <v>0.67013888888888884</v>
      </c>
      <c r="F26" s="4"/>
      <c r="G26" s="29" t="s">
        <v>34</v>
      </c>
      <c r="H26" s="41">
        <f>B28</f>
        <v>24</v>
      </c>
      <c r="I26" s="21">
        <v>1938</v>
      </c>
      <c r="J26" s="6">
        <f>D28</f>
        <v>0</v>
      </c>
      <c r="K26" s="39">
        <v>0.98541666666666661</v>
      </c>
      <c r="L26" s="21"/>
      <c r="M26" s="33" t="s">
        <v>40</v>
      </c>
      <c r="N26" s="78"/>
    </row>
    <row r="27" spans="1:18" s="7" customFormat="1" ht="18" customHeight="1" thickTop="1" thickBot="1" x14ac:dyDescent="0.2">
      <c r="A27" s="36">
        <v>25</v>
      </c>
      <c r="B27" s="37">
        <v>23</v>
      </c>
      <c r="C27" s="4">
        <v>1937</v>
      </c>
      <c r="D27" s="18"/>
      <c r="E27" s="42">
        <v>0.70486111111111116</v>
      </c>
      <c r="F27" s="21"/>
      <c r="G27" s="49" t="s">
        <v>32</v>
      </c>
      <c r="H27" s="41">
        <f>B30</f>
        <v>26</v>
      </c>
      <c r="I27" s="76">
        <v>1237</v>
      </c>
      <c r="J27" s="5">
        <f>D30</f>
        <v>0</v>
      </c>
      <c r="K27" s="39">
        <v>0.99340277777777775</v>
      </c>
      <c r="L27" s="21"/>
      <c r="M27" s="53"/>
      <c r="N27" s="47" t="s">
        <v>13</v>
      </c>
    </row>
    <row r="28" spans="1:18" s="7" customFormat="1" ht="18" customHeight="1" thickTop="1" thickBot="1" x14ac:dyDescent="0.2">
      <c r="A28" s="36">
        <v>24</v>
      </c>
      <c r="B28" s="37">
        <v>24</v>
      </c>
      <c r="C28" s="21">
        <v>1939</v>
      </c>
      <c r="D28" s="19"/>
      <c r="E28" s="42">
        <v>0.75277777777777777</v>
      </c>
      <c r="F28" s="21"/>
      <c r="G28" s="49" t="s">
        <v>29</v>
      </c>
      <c r="H28" s="41">
        <f>B24</f>
        <v>20</v>
      </c>
      <c r="I28" s="21">
        <v>1940</v>
      </c>
      <c r="J28" s="6">
        <f>D24</f>
        <v>0</v>
      </c>
      <c r="K28" s="39">
        <v>0.99444444444444446</v>
      </c>
      <c r="L28" s="18"/>
      <c r="M28" s="53"/>
      <c r="N28" s="47"/>
    </row>
    <row r="29" spans="1:18" s="7" customFormat="1" ht="18" customHeight="1" thickTop="1" thickBot="1" x14ac:dyDescent="0.2">
      <c r="A29" s="36">
        <v>20</v>
      </c>
      <c r="B29" s="77">
        <v>25</v>
      </c>
      <c r="C29" s="4">
        <v>1941</v>
      </c>
      <c r="D29" s="19"/>
      <c r="E29" s="39">
        <v>0.76249999999999996</v>
      </c>
      <c r="F29" s="21"/>
      <c r="G29" s="49" t="s">
        <v>27</v>
      </c>
      <c r="H29" s="41">
        <f>B22</f>
        <v>18</v>
      </c>
      <c r="I29" s="76">
        <v>1239</v>
      </c>
      <c r="J29" s="5">
        <f>D22</f>
        <v>0</v>
      </c>
      <c r="K29" s="39">
        <v>1.0027777777777778</v>
      </c>
      <c r="L29" s="18"/>
      <c r="M29" s="53"/>
      <c r="N29" s="47" t="s">
        <v>14</v>
      </c>
      <c r="Q29" s="7">
        <v>0</v>
      </c>
    </row>
    <row r="30" spans="1:18" s="7" customFormat="1" ht="18" customHeight="1" thickTop="1" thickBot="1" x14ac:dyDescent="0.2">
      <c r="A30" s="64">
        <v>23</v>
      </c>
      <c r="B30" s="79">
        <v>26</v>
      </c>
      <c r="C30" s="67">
        <v>1943</v>
      </c>
      <c r="D30" s="20"/>
      <c r="E30" s="66">
        <v>0.78194444444444444</v>
      </c>
      <c r="F30" s="67"/>
      <c r="G30" s="68" t="s">
        <v>27</v>
      </c>
      <c r="H30" s="41">
        <f>B27</f>
        <v>23</v>
      </c>
      <c r="I30" s="21">
        <v>1942</v>
      </c>
      <c r="J30" s="4">
        <f>D27</f>
        <v>0</v>
      </c>
      <c r="K30" s="39">
        <v>1.0034722222222221</v>
      </c>
      <c r="L30" s="20"/>
      <c r="M30" s="80"/>
      <c r="N30" s="47"/>
    </row>
    <row r="31" spans="1:18" s="7" customFormat="1" ht="18" customHeight="1" thickTop="1" thickBot="1" x14ac:dyDescent="0.2">
      <c r="A31" s="81"/>
      <c r="B31" s="82"/>
      <c r="C31" s="82"/>
      <c r="D31" s="82"/>
      <c r="E31" s="82"/>
      <c r="F31" s="82"/>
      <c r="G31" s="82"/>
      <c r="H31" s="83"/>
      <c r="I31" s="83"/>
      <c r="J31" s="83"/>
      <c r="K31" s="83"/>
      <c r="L31" s="83"/>
      <c r="M31" s="83"/>
      <c r="N31" s="84"/>
    </row>
    <row r="32" spans="1:18" s="7" customFormat="1" ht="24.75" customHeight="1" thickTop="1" x14ac:dyDescent="0.15">
      <c r="A32" s="108" t="s">
        <v>47</v>
      </c>
      <c r="B32" s="109"/>
      <c r="C32" s="121" t="s">
        <v>15</v>
      </c>
      <c r="D32" s="85" t="s">
        <v>16</v>
      </c>
      <c r="E32" s="123"/>
      <c r="F32" s="124"/>
      <c r="G32" s="125"/>
      <c r="H32" s="126" t="s">
        <v>17</v>
      </c>
      <c r="I32" s="121"/>
      <c r="J32" s="128"/>
      <c r="K32" s="129"/>
      <c r="L32" s="129"/>
      <c r="M32" s="129"/>
      <c r="N32" s="130"/>
    </row>
    <row r="33" spans="1:21" s="7" customFormat="1" ht="22.5" customHeight="1" x14ac:dyDescent="0.15">
      <c r="A33" s="110"/>
      <c r="B33" s="111"/>
      <c r="C33" s="122"/>
      <c r="D33" s="86" t="s">
        <v>26</v>
      </c>
      <c r="E33" s="134"/>
      <c r="F33" s="135"/>
      <c r="G33" s="136"/>
      <c r="H33" s="127"/>
      <c r="I33" s="122"/>
      <c r="J33" s="131"/>
      <c r="K33" s="132"/>
      <c r="L33" s="132"/>
      <c r="M33" s="132"/>
      <c r="N33" s="133"/>
    </row>
    <row r="34" spans="1:21" s="7" customFormat="1" ht="24.75" customHeight="1" x14ac:dyDescent="0.15">
      <c r="A34" s="110"/>
      <c r="B34" s="111"/>
      <c r="C34" s="86" t="s">
        <v>18</v>
      </c>
      <c r="D34" s="137"/>
      <c r="E34" s="135"/>
      <c r="F34" s="135"/>
      <c r="G34" s="136"/>
      <c r="H34" s="127" t="s">
        <v>19</v>
      </c>
      <c r="I34" s="122"/>
      <c r="J34" s="138"/>
      <c r="K34" s="139"/>
      <c r="L34" s="86" t="s">
        <v>37</v>
      </c>
      <c r="M34" s="140"/>
      <c r="N34" s="141"/>
      <c r="P34" s="23"/>
    </row>
    <row r="35" spans="1:21" ht="27.75" customHeight="1" thickBot="1" x14ac:dyDescent="0.2">
      <c r="A35" s="112"/>
      <c r="B35" s="113"/>
      <c r="C35" s="87" t="s">
        <v>25</v>
      </c>
      <c r="D35" s="114"/>
      <c r="E35" s="115"/>
      <c r="F35" s="88" t="s">
        <v>28</v>
      </c>
      <c r="G35" s="89"/>
      <c r="H35" s="116" t="s">
        <v>46</v>
      </c>
      <c r="I35" s="117"/>
      <c r="J35" s="118"/>
      <c r="K35" s="119"/>
      <c r="L35" s="119"/>
      <c r="M35" s="119"/>
      <c r="N35" s="120"/>
    </row>
    <row r="36" spans="1:21" ht="19.5" customHeight="1" thickTop="1" x14ac:dyDescent="0.15">
      <c r="J36" s="92"/>
    </row>
    <row r="40" spans="1:21" ht="13.5" customHeight="1" x14ac:dyDescent="0.15">
      <c r="U40" s="23" t="s">
        <v>12</v>
      </c>
    </row>
    <row r="227" spans="6:6" x14ac:dyDescent="0.15">
      <c r="F227" s="91" t="s">
        <v>24</v>
      </c>
    </row>
    <row r="16062" spans="10:10" ht="13.5" x14ac:dyDescent="0.15">
      <c r="J16062" s="93" t="s">
        <v>20</v>
      </c>
    </row>
  </sheetData>
  <mergeCells count="18">
    <mergeCell ref="A32:B35"/>
    <mergeCell ref="D35:E35"/>
    <mergeCell ref="H35:I35"/>
    <mergeCell ref="J35:N35"/>
    <mergeCell ref="C32:C33"/>
    <mergeCell ref="E32:G32"/>
    <mergeCell ref="H32:I33"/>
    <mergeCell ref="J32:N33"/>
    <mergeCell ref="E33:G33"/>
    <mergeCell ref="D34:G34"/>
    <mergeCell ref="H34:I34"/>
    <mergeCell ref="J34:K34"/>
    <mergeCell ref="M34:N34"/>
    <mergeCell ref="A1:N1"/>
    <mergeCell ref="A2:G2"/>
    <mergeCell ref="H2:N2"/>
    <mergeCell ref="A3:G3"/>
    <mergeCell ref="H3:N3"/>
  </mergeCells>
  <phoneticPr fontId="1" type="noConversion"/>
  <printOptions horizontalCentered="1" verticalCentered="1"/>
  <pageMargins left="0.39370078740157483" right="0.39370078740157483" top="0.59055118110236227" bottom="0.59055118110236227" header="0" footer="0"/>
  <pageSetup paperSize="9" fitToWidth="0" orientation="portrait" r:id="rId1"/>
  <headerFooter alignWithMargins="0"/>
  <ignoredErrors>
    <ignoredError sqref="J9 H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평일</vt:lpstr>
      <vt:lpstr>평일!Print_Area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2026-04-06T11:05:31Z</cp:lastPrinted>
  <dcterms:created xsi:type="dcterms:W3CDTF">2016-06-26T09:16:23Z</dcterms:created>
  <dcterms:modified xsi:type="dcterms:W3CDTF">2026-04-06T12:33:35Z</dcterms:modified>
</cp:coreProperties>
</file>